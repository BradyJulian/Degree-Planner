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itt-my.sharepoint.com/personal/jub177_pitt_edu/Documents/Personal Design Work/Coding and Electronics/Excel/Blank Degree Planner/"/>
    </mc:Choice>
  </mc:AlternateContent>
  <xr:revisionPtr revIDLastSave="2415" documentId="11_F25DC773A252ABDACC1048B1D1DB51A45BDE58EF" xr6:coauthVersionLast="47" xr6:coauthVersionMax="47" xr10:uidLastSave="{A56F6059-7EBE-4A25-8BD9-55AB6D073DC7}"/>
  <bookViews>
    <workbookView xWindow="-108" yWindow="-108" windowWidth="23256" windowHeight="13896" tabRatio="731" xr2:uid="{00000000-000D-0000-FFFF-FFFF00000000}"/>
  </bookViews>
  <sheets>
    <sheet name="Overview" sheetId="3" r:id="rId1"/>
    <sheet name="BS Mechanical Engineering" sheetId="1" r:id="rId2"/>
    <sheet name="GPA Calculations" sheetId="6" r:id="rId3"/>
  </sheets>
  <externalReferences>
    <externalReference r:id="rId4"/>
  </externalReferences>
  <definedNames>
    <definedName name="_xlnm._FilterDatabase" localSheetId="2" hidden="1">'GPA Calculations'!$J$12:$J$24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F5" i="1" a="1"/>
  <c r="F5" i="1" s="1"/>
  <c r="D48" i="6"/>
  <c r="B48" i="6"/>
  <c r="B4" i="3"/>
  <c r="M17" i="1" a="1"/>
  <c r="M17" i="1" s="1"/>
  <c r="M18" i="1" a="1"/>
  <c r="M18" i="1" s="1"/>
  <c r="M16" i="1" a="1"/>
  <c r="M16" i="1" s="1"/>
  <c r="C48" i="6" s="1"/>
  <c r="E48" i="6" s="1"/>
  <c r="F48" i="6" s="1"/>
  <c r="G48" i="6" s="1"/>
  <c r="M5" i="1" a="1"/>
  <c r="M5" i="1" s="1"/>
  <c r="M10" i="1" a="1"/>
  <c r="M10" i="1" s="1"/>
  <c r="M6" i="1" a="1"/>
  <c r="M6" i="1" s="1"/>
  <c r="M7" i="1" a="1"/>
  <c r="M7" i="1" s="1"/>
  <c r="M8" i="1" a="1"/>
  <c r="M8" i="1" s="1"/>
  <c r="M9" i="1" a="1"/>
  <c r="M9" i="1" s="1"/>
  <c r="F33" i="1" a="1"/>
  <c r="F33" i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/>
  <c r="F25" i="1" a="1"/>
  <c r="F25" i="1" s="1"/>
  <c r="F42" i="1" l="1" a="1"/>
  <c r="F42" i="1" s="1"/>
  <c r="F39" i="1" a="1"/>
  <c r="F39" i="1" s="1"/>
  <c r="F37" i="1" l="1" a="1"/>
  <c r="F37" i="1" s="1"/>
  <c r="C4" i="3" l="1"/>
  <c r="F38" i="1" l="1" a="1"/>
  <c r="F38" i="1" s="1"/>
  <c r="F40" i="1" a="1"/>
  <c r="F40" i="1" s="1"/>
  <c r="F41" i="1" a="1"/>
  <c r="F41" i="1" s="1"/>
  <c r="D47" i="6" l="1"/>
  <c r="D43" i="6"/>
  <c r="D44" i="6"/>
  <c r="D45" i="6"/>
  <c r="D46" i="6"/>
  <c r="D42" i="6"/>
  <c r="D41" i="6"/>
  <c r="D37" i="6"/>
  <c r="D38" i="6"/>
  <c r="D39" i="6"/>
  <c r="D40" i="6"/>
  <c r="D35" i="6"/>
  <c r="D34" i="6"/>
  <c r="D36" i="6"/>
  <c r="D31" i="6"/>
  <c r="D32" i="6"/>
  <c r="D33" i="6"/>
  <c r="D26" i="6"/>
  <c r="D27" i="6"/>
  <c r="D28" i="6"/>
  <c r="D29" i="6"/>
  <c r="D30" i="6"/>
  <c r="D22" i="6"/>
  <c r="D23" i="6"/>
  <c r="D24" i="6"/>
  <c r="D25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C7" i="6"/>
  <c r="I13" i="6"/>
  <c r="I17" i="6"/>
  <c r="I15" i="6"/>
  <c r="I16" i="6"/>
  <c r="I20" i="6"/>
  <c r="I18" i="6"/>
  <c r="I19" i="6"/>
  <c r="I23" i="6"/>
  <c r="I21" i="6"/>
  <c r="I14" i="6"/>
  <c r="I12" i="6"/>
  <c r="I22" i="6"/>
  <c r="I24" i="6"/>
  <c r="C8" i="6"/>
  <c r="C14" i="6" l="1"/>
  <c r="C9" i="6"/>
  <c r="C10" i="6"/>
  <c r="C11" i="6"/>
  <c r="C12" i="6"/>
  <c r="C16" i="6"/>
  <c r="C43" i="6"/>
  <c r="C44" i="6"/>
  <c r="B43" i="6"/>
  <c r="B44" i="6"/>
  <c r="B45" i="6"/>
  <c r="B46" i="6"/>
  <c r="B47" i="6"/>
  <c r="B42" i="6"/>
  <c r="B41" i="6"/>
  <c r="B40" i="6"/>
  <c r="B37" i="6"/>
  <c r="B38" i="6"/>
  <c r="B39" i="6"/>
  <c r="B36" i="6"/>
  <c r="B35" i="6"/>
  <c r="B31" i="6"/>
  <c r="B32" i="6"/>
  <c r="B33" i="6"/>
  <c r="B34" i="6"/>
  <c r="B8" i="6"/>
  <c r="E8" i="6" s="1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7" i="6"/>
  <c r="E7" i="6" s="1"/>
  <c r="E11" i="6" l="1"/>
  <c r="F11" i="6" s="1"/>
  <c r="G11" i="6" s="1"/>
  <c r="E10" i="6"/>
  <c r="E12" i="6"/>
  <c r="E9" i="6"/>
  <c r="E14" i="6"/>
  <c r="F8" i="6"/>
  <c r="G8" i="6" s="1"/>
  <c r="E16" i="6"/>
  <c r="F16" i="6" s="1"/>
  <c r="G16" i="6" s="1"/>
  <c r="E44" i="6"/>
  <c r="F44" i="6" s="1"/>
  <c r="G44" i="6" s="1"/>
  <c r="E43" i="6"/>
  <c r="F43" i="6" s="1"/>
  <c r="G43" i="6" s="1"/>
  <c r="F12" i="6"/>
  <c r="G12" i="6" s="1"/>
  <c r="F14" i="6"/>
  <c r="G14" i="6" s="1"/>
  <c r="F7" i="6"/>
  <c r="G7" i="6" s="1"/>
  <c r="F10" i="6"/>
  <c r="G10" i="6" s="1"/>
  <c r="F9" i="6"/>
  <c r="C15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B9" i="3"/>
  <c r="E33" i="6" l="1"/>
  <c r="F33" i="6" s="1"/>
  <c r="G33" i="6" s="1"/>
  <c r="E32" i="6"/>
  <c r="F32" i="6" s="1"/>
  <c r="G32" i="6" s="1"/>
  <c r="E24" i="6"/>
  <c r="F24" i="6" s="1"/>
  <c r="G24" i="6" s="1"/>
  <c r="E23" i="6"/>
  <c r="F23" i="6" s="1"/>
  <c r="G23" i="6" s="1"/>
  <c r="E22" i="6"/>
  <c r="F22" i="6" s="1"/>
  <c r="G22" i="6" s="1"/>
  <c r="E21" i="6"/>
  <c r="F21" i="6" s="1"/>
  <c r="G21" i="6" s="1"/>
  <c r="E39" i="6"/>
  <c r="F39" i="6" s="1"/>
  <c r="G39" i="6" s="1"/>
  <c r="E30" i="6"/>
  <c r="F30" i="6" s="1"/>
  <c r="G30" i="6" s="1"/>
  <c r="E41" i="6"/>
  <c r="F41" i="6" s="1"/>
  <c r="G41" i="6" s="1"/>
  <c r="E40" i="6"/>
  <c r="F40" i="6" s="1"/>
  <c r="G40" i="6" s="1"/>
  <c r="E20" i="6"/>
  <c r="F20" i="6" s="1"/>
  <c r="G20" i="6" s="1"/>
  <c r="E19" i="6"/>
  <c r="F19" i="6" s="1"/>
  <c r="G19" i="6" s="1"/>
  <c r="E38" i="6"/>
  <c r="F38" i="6" s="1"/>
  <c r="G38" i="6" s="1"/>
  <c r="E18" i="6"/>
  <c r="F18" i="6" s="1"/>
  <c r="G18" i="6" s="1"/>
  <c r="E37" i="6"/>
  <c r="F37" i="6" s="1"/>
  <c r="G37" i="6" s="1"/>
  <c r="E17" i="6"/>
  <c r="F17" i="6" s="1"/>
  <c r="G17" i="6" s="1"/>
  <c r="E36" i="6"/>
  <c r="F36" i="6" s="1"/>
  <c r="G36" i="6" s="1"/>
  <c r="E15" i="6"/>
  <c r="F15" i="6" s="1"/>
  <c r="G15" i="6" s="1"/>
  <c r="E35" i="6"/>
  <c r="F35" i="6" s="1"/>
  <c r="G35" i="6" s="1"/>
  <c r="E34" i="6"/>
  <c r="F34" i="6" s="1"/>
  <c r="G34" i="6" s="1"/>
  <c r="E31" i="6"/>
  <c r="F31" i="6" s="1"/>
  <c r="G31" i="6" s="1"/>
  <c r="E29" i="6"/>
  <c r="F29" i="6" s="1"/>
  <c r="G29" i="6" s="1"/>
  <c r="E28" i="6"/>
  <c r="F28" i="6" s="1"/>
  <c r="G28" i="6" s="1"/>
  <c r="E27" i="6"/>
  <c r="F27" i="6" s="1"/>
  <c r="G27" i="6" s="1"/>
  <c r="E26" i="6"/>
  <c r="F26" i="6" s="1"/>
  <c r="G26" i="6" s="1"/>
  <c r="E25" i="6"/>
  <c r="F25" i="6" s="1"/>
  <c r="G25" i="6" s="1"/>
  <c r="D9" i="3"/>
  <c r="S6" i="1"/>
  <c r="C47" i="6"/>
  <c r="C42" i="6"/>
  <c r="C46" i="6"/>
  <c r="C45" i="6"/>
  <c r="G9" i="6"/>
  <c r="E42" i="6" l="1"/>
  <c r="F42" i="6" s="1"/>
  <c r="G42" i="6" s="1"/>
  <c r="E46" i="6"/>
  <c r="F46" i="6" s="1"/>
  <c r="G46" i="6" s="1"/>
  <c r="E47" i="6"/>
  <c r="F47" i="6" s="1"/>
  <c r="G47" i="6" s="1"/>
  <c r="E45" i="6"/>
  <c r="F45" i="6" s="1"/>
  <c r="G45" i="6" s="1"/>
  <c r="C13" i="6"/>
  <c r="E13" i="6" s="1"/>
  <c r="C3" i="6" s="1"/>
  <c r="F13" i="6" l="1"/>
  <c r="G13" i="6" s="1"/>
  <c r="C9" i="3" s="1"/>
  <c r="B3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<sst xmlns="http://schemas.openxmlformats.org/spreadsheetml/2006/main" count="136" uniqueCount="105">
  <si>
    <t>Required Classes</t>
  </si>
  <si>
    <t>Humanites/Social Science elective requirements</t>
  </si>
  <si>
    <t>Calculus 1</t>
  </si>
  <si>
    <t>Chemistry 1</t>
  </si>
  <si>
    <t>Physics 1</t>
  </si>
  <si>
    <t>Name</t>
  </si>
  <si>
    <t>Credits</t>
  </si>
  <si>
    <t>MATH 0220</t>
  </si>
  <si>
    <t>Grade</t>
  </si>
  <si>
    <t>Complete?</t>
  </si>
  <si>
    <t>PHYS 0174</t>
  </si>
  <si>
    <t>ENGCMP 0210</t>
  </si>
  <si>
    <t>ENGR 0081</t>
  </si>
  <si>
    <t>Term</t>
  </si>
  <si>
    <t>Technical Writing for Engineers</t>
  </si>
  <si>
    <t>AP Credit</t>
  </si>
  <si>
    <t>Other</t>
  </si>
  <si>
    <t>Breadth Requirement?</t>
  </si>
  <si>
    <t>Depth Requirement?</t>
  </si>
  <si>
    <t>Chemistry 2</t>
  </si>
  <si>
    <t>MATH 0230</t>
  </si>
  <si>
    <t>Calculus 2</t>
  </si>
  <si>
    <t>PHYS 0175</t>
  </si>
  <si>
    <t>Physics 2</t>
  </si>
  <si>
    <t>ENGR 0082</t>
  </si>
  <si>
    <t>Freshman Seminar 2</t>
  </si>
  <si>
    <t>Freshman Seminar 1</t>
  </si>
  <si>
    <t>MATH 0240</t>
  </si>
  <si>
    <t>Calculus 3</t>
  </si>
  <si>
    <t>MATH 0280</t>
  </si>
  <si>
    <t>Linear Algebra</t>
  </si>
  <si>
    <t>ENGR 0022</t>
  </si>
  <si>
    <t>ENGR 0135</t>
  </si>
  <si>
    <t>Statics 1</t>
  </si>
  <si>
    <t>MEMS 0024</t>
  </si>
  <si>
    <t>Intro to ME Design</t>
  </si>
  <si>
    <t>Mater. Struct. &amp; Properties</t>
  </si>
  <si>
    <t>MATH 0290</t>
  </si>
  <si>
    <t>Differential Equations</t>
  </si>
  <si>
    <t>BS Mechanical Engineering</t>
  </si>
  <si>
    <t>Total Credits Completed so Far</t>
  </si>
  <si>
    <t>Remaining Credits</t>
  </si>
  <si>
    <t>%Complete</t>
  </si>
  <si>
    <t>Elective</t>
  </si>
  <si>
    <t>ME Technical Elective</t>
  </si>
  <si>
    <t>Overall</t>
  </si>
  <si>
    <t>Total Credits Completed</t>
  </si>
  <si>
    <t>GPA</t>
  </si>
  <si>
    <t>Statics 2</t>
  </si>
  <si>
    <t>ENGR 0145</t>
  </si>
  <si>
    <t>Electrical Circuts</t>
  </si>
  <si>
    <t>MEMS 0031</t>
  </si>
  <si>
    <t>MEMS 0051</t>
  </si>
  <si>
    <t>Intro to Thermodynamics</t>
  </si>
  <si>
    <t>Rigid-Body Dynamics</t>
  </si>
  <si>
    <t>MEMS 1015</t>
  </si>
  <si>
    <t>Intro to Fluid Mechanics</t>
  </si>
  <si>
    <t>MEMS 0071</t>
  </si>
  <si>
    <t>MEMS 1014</t>
  </si>
  <si>
    <t>Dynamic Systems</t>
  </si>
  <si>
    <t>MEMS 1028</t>
  </si>
  <si>
    <t>Mechanical Design 1</t>
  </si>
  <si>
    <t>MEMS 0040</t>
  </si>
  <si>
    <t>Materials &amp; Manufacturing</t>
  </si>
  <si>
    <t>MEMS 1029</t>
  </si>
  <si>
    <t>Mechanical Design 2</t>
  </si>
  <si>
    <t>MEMS 1041</t>
  </si>
  <si>
    <t>Mechanical Measurements 1</t>
  </si>
  <si>
    <t>Engineering Elective</t>
  </si>
  <si>
    <t>Mechanical Measurements 2</t>
  </si>
  <si>
    <t>MEMS 1042</t>
  </si>
  <si>
    <t>Heat and Mass Transfer</t>
  </si>
  <si>
    <t>MEMS 1052</t>
  </si>
  <si>
    <t>Dynamic Systems Elective</t>
  </si>
  <si>
    <t>CHEM 0110</t>
  </si>
  <si>
    <t>CHEM 0120</t>
  </si>
  <si>
    <t>Current Term:</t>
  </si>
  <si>
    <t>Completion Status</t>
  </si>
  <si>
    <t>Class Data</t>
  </si>
  <si>
    <t>Total Completed Classes</t>
  </si>
  <si>
    <t>Completed credit totals</t>
  </si>
  <si>
    <t>Academic level for enrollment</t>
  </si>
  <si>
    <t>Freshman</t>
  </si>
  <si>
    <t>Sophomore</t>
  </si>
  <si>
    <t>Junior</t>
  </si>
  <si>
    <t>Senior</t>
  </si>
  <si>
    <t>Academic Level for Enrollment</t>
  </si>
  <si>
    <t>Completed graded classes = False</t>
  </si>
  <si>
    <t>GPA Reference</t>
  </si>
  <si>
    <t>Enrollment classification reference</t>
  </si>
  <si>
    <t>GPA Value</t>
  </si>
  <si>
    <t>Any</t>
  </si>
  <si>
    <t>Fall, Spring</t>
  </si>
  <si>
    <t>Spring, Summer</t>
  </si>
  <si>
    <t>Fall, Summer</t>
  </si>
  <si>
    <t>Credit-Weighted GPA</t>
  </si>
  <si>
    <t>Open Elective</t>
  </si>
  <si>
    <t>ENGR 0012</t>
  </si>
  <si>
    <t>Engineering Analysis and Computing</t>
  </si>
  <si>
    <t>ENGR 0011</t>
  </si>
  <si>
    <t>Intro to Engineering Analysis</t>
  </si>
  <si>
    <t>MEMS 1043</t>
  </si>
  <si>
    <t>Senior Design</t>
  </si>
  <si>
    <t>ENGCMP 0412</t>
  </si>
  <si>
    <t>Note: put N/A for classes that don’t affect 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</si>
</sst>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2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3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4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9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horizontal="center"/>
    </xf>
    <xf numFmtId="0" fontId="0" fillId="0" borderId="9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/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5" xfId="0" applyBorder="1"/>
    <xf numFmtId="0" fontId="0" fillId="0" borderId="1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5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5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0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center"/>
    </xf>
    <xf numFmtId="0" fontId="0" fillId="0" borderId="4" xfId="0" applyBorder="1"/>
    <xf numFmtId="0" fontId="0" fillId="0" borderId="3" xfId="0" applyBorder="1"/>
    <xf numFmtId="0" fontId="0" fillId="0" borderId="20" xfId="0" applyBorder="1" applyAlignment="1">
      <alignment horizontal="center" wrapText="1"/>
    </xf>
    <xf numFmtId="0" fontId="0" fillId="0" borderId="20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2" fontId="0" fillId="0" borderId="20" xfId="0" applyNumberFormat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7" xfId="0" applyBorder="1"/>
    <xf numFmtId="0" fontId="2" fillId="0" borderId="2" xfId="1" applyBorder="1" applyAlignment="1">
      <alignment horizontal="center" vertical="center"/>
    </xf>
    <xf numFmtId="0" fontId="3" fillId="0" borderId="0" xfId="0" applyFont="1"/>
    <xf numFmtId="0" fontId="2" fillId="0" borderId="2" xfId="1" applyBorder="1" applyAlignment="1">
      <alignment horizontal="center" vertical="center" wrapText="1"/>
    </xf>
    <xf numFmtId="0" fontId="2" fillId="0" borderId="25" xfId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5" xfId="0" applyFill="1" applyBorder="1"/>
    <xf numFmtId="0" fontId="0" fillId="0" borderId="27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29" xfId="0" quotePrefix="1" applyBorder="1" applyAlignment="1">
      <alignment horizontal="center"/>
    </xf>
    <xf numFmtId="0" fontId="0" fillId="0" borderId="29" xfId="0" applyBorder="1" applyAlignment="1">
      <alignment horizontal="center"/>
    </xf>
  </cellXfs>
  <cellStyles count="2">
    <cellStyle name="Hyperlink" xfId="1" builtinId="8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9DC"/>
      <color rgb="FFFEB0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488388</xdr:colOff>
      <xdr:row>19</xdr:row>
      <xdr:rowOff>78557</xdr:rowOff>
    </xdr:from>
    <xdr:to>
      <xdr:col>14</xdr:col>
      <xdr:colOff>405113</xdr:colOff>
      <xdr:row>68</xdr:row>
      <xdr:rowOff>61175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95926-7174-4CE7-925E-3B95DD2736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82" t="982"/>
        <a:stretch>
          <a:fillRect/>
        </a:stretch>
      </xdr:blipFill>
      <xdr:spPr>
        <a:xfrm>
          <a:off x="9719198" y="3917494"/>
          <a:ext cx="8125105" cy="90012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itt-my.sharepoint.com/personal/jub177_pitt_edu/Documents/Grade%20Calculations%20and%20Degree%20Planner/Grade%20Calculator.xlsx" TargetMode="External"/><Relationship Id="rId1" Type="http://schemas.openxmlformats.org/officeDocument/2006/relationships/externalLinkPath" Target="Grade%20Calcul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mester 2"/>
      <sheetName val="Semester 1"/>
      <sheetName val="Template"/>
      <sheetName val="Semester 3"/>
    </sheetNames>
    <sheetDataSet>
      <sheetData sheetId="0">
        <row r="12">
          <cell r="P12">
            <v>0</v>
          </cell>
        </row>
      </sheetData>
      <sheetData sheetId="1">
        <row r="9">
          <cell r="L9" t="str">
            <v>A+</v>
          </cell>
        </row>
      </sheetData>
      <sheetData sheetId="2" refreshError="1"/>
      <sheetData sheetId="3">
        <row r="12">
          <cell r="D12" t="e">
            <v>#N/A</v>
          </cell>
          <cell r="T12" t="e">
            <v>#N/A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gineering.pitt.edu/globalassets/departments/mechanical-and-materials-science/docs/student-resources/mesamplescheduleform2020.pdf" TargetMode="External"/><Relationship Id="rId2" Type="http://schemas.openxmlformats.org/officeDocument/2006/relationships/hyperlink" Target="https://www.engineering.pitt.edu/contentassets/b4a81b54dc4946648eab2a4de81654e0/rba02-approved-electives-9_16_2025.pdf" TargetMode="External"/><Relationship Id="rId1" Type="http://schemas.openxmlformats.org/officeDocument/2006/relationships/hyperlink" Target="https://catalog.upp.pitt.edu/content.php?catoid=223&amp;navoid=22673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2C718-3176-4978-B284-7C481FDDEF64}">
  <dimension ref="B1:E9"/>
  <sheetViews>
    <sheetView tabSelected="1" zoomScale="150" zoomScaleNormal="150" workbookViewId="0">
      <selection activeCell="D5" sqref="D5"/>
    </sheetView>
  </sheetViews>
  <sheetFormatPr defaultRowHeight="14.4" x14ac:dyDescent="0.3"/>
  <cols>
    <col min="2" max="2" width="19.21875" customWidth="1"/>
    <col min="3" max="3" width="11.77734375" customWidth="1"/>
    <col min="4" max="4" width="15.33203125" customWidth="1"/>
    <col min="6" max="6" width="19" customWidth="1"/>
    <col min="7" max="7" width="13.6640625" customWidth="1"/>
    <col min="8" max="8" width="14.21875" customWidth="1"/>
    <col min="10" max="10" width="19.77734375" customWidth="1"/>
    <col min="11" max="11" width="18.33203125" customWidth="1"/>
    <col min="12" max="12" width="11.44140625" customWidth="1"/>
    <col min="13" max="13" width="11.21875" customWidth="1"/>
  </cols>
  <sheetData>
    <row r="1" spans="2:5" ht="15" thickBot="1" x14ac:dyDescent="0.35"/>
    <row r="2" spans="2:5" ht="15" thickBot="1" x14ac:dyDescent="0.35">
      <c r="B2" s="62" t="s">
        <v>39</v>
      </c>
      <c r="C2" s="63"/>
      <c r="D2" s="64"/>
    </row>
    <row r="3" spans="2:5" ht="29.4" thickBot="1" x14ac:dyDescent="0.35">
      <c r="B3" s="25" t="s">
        <v>40</v>
      </c>
      <c r="C3" s="25" t="s">
        <v>41</v>
      </c>
      <c r="D3" s="14" t="s">
        <v>42</v>
      </c>
    </row>
    <row r="4" spans="2:5" ht="15" thickBot="1" x14ac:dyDescent="0.35">
      <c r="B4" s="35">
        <f>SUMIF('BS Mechanical Engineering'!E5:E33,TRUE,'BS Mechanical Engineering'!G5:G33)+SUMIF('BS Mechanical Engineering'!E37:E42,TRUE,'BS Mechanical Engineering'!G37:G42)+SUMIF('BS Mechanical Engineering'!L5:L10,TRUE,'BS Mechanical Engineering'!N5:N10)+IF('BS Mechanical Engineering'!L16=TRUE,'BS Mechanical Engineering'!N16,0)</f>
        <v>0</v>
      </c>
      <c r="C4" s="35">
        <f>SUMIF('BS Mechanical Engineering'!E5:E33,FALSE,'BS Mechanical Engineering'!G5:G33)+SUMIF('BS Mechanical Engineering'!E37:E42,FALSE,'BS Mechanical Engineering'!G37:G42)+SUMIF('BS Mechanical Engineering'!L5:L10,FALSE,'BS Mechanical Engineering'!N5:N10)+'BS Mechanical Engineering'!N16</f>
        <v>125</v>
      </c>
      <c r="D4" s="35">
        <f>(B4/(C4+B4))*99+IF('BS Mechanical Engineering'!J13=TRUE,0.5,0)+IF('BS Mechanical Engineering'!K13=TRUE,0.5,0)</f>
        <v>0.5</v>
      </c>
      <c r="E4" s="1"/>
    </row>
    <row r="6" spans="2:5" ht="15" thickBot="1" x14ac:dyDescent="0.35"/>
    <row r="7" spans="2:5" ht="15" thickBot="1" x14ac:dyDescent="0.35">
      <c r="B7" s="65" t="s">
        <v>45</v>
      </c>
      <c r="C7" s="66"/>
      <c r="D7" s="67"/>
    </row>
    <row r="8" spans="2:5" ht="29.4" thickBot="1" x14ac:dyDescent="0.35">
      <c r="B8" s="49" t="s">
        <v>46</v>
      </c>
      <c r="C8" s="50" t="s">
        <v>47</v>
      </c>
      <c r="D8" s="25" t="s">
        <v>86</v>
      </c>
    </row>
    <row r="9" spans="2:5" ht="15" thickBot="1" x14ac:dyDescent="0.35">
      <c r="B9" s="35" t="e">
        <f>B4+F4+#REF!</f>
        <v>#REF!</v>
      </c>
      <c r="C9" s="55" t="e">
        <f>'GPA Calculations'!C3</f>
        <v>#DIV/0!</v>
      </c>
      <c r="D9" s="30" t="e">
        <f>VLOOKUP(Overview!B9,'GPA Calculations'!$I$5:'GPA Calculations'!$J$8,2)</f>
        <v>#REF!</v>
      </c>
    </row>
  </sheetData>
  <mergeCells count="2">
    <mergeCell ref="B2:D2"/>
    <mergeCell ref="B7:D7"/>
  </mergeCells>
  <conditionalFormatting sqref="D4">
    <cfRule type="colorScale" priority="8">
      <colorScale>
        <cfvo type="num" val="0"/>
        <cfvo type="num" val="100"/>
        <color rgb="FFFEB0B6"/>
        <color rgb="FF00B05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06"/>
  <sheetViews>
    <sheetView zoomScale="79" zoomScaleNormal="90" workbookViewId="0">
      <selection activeCell="H7" sqref="H7"/>
    </sheetView>
  </sheetViews>
  <sheetFormatPr defaultRowHeight="14.4" x14ac:dyDescent="0.3"/>
  <cols>
    <col min="2" max="2" width="16.6640625" style="1" customWidth="1"/>
    <col min="3" max="3" width="24" customWidth="1"/>
    <col min="4" max="4" width="47" customWidth="1"/>
    <col min="5" max="5" width="14.21875" customWidth="1"/>
    <col min="6" max="6" width="14.88671875" customWidth="1"/>
    <col min="9" max="9" width="12" style="1" customWidth="1"/>
    <col min="10" max="10" width="29.77734375" customWidth="1"/>
    <col min="11" max="11" width="34.44140625" customWidth="1"/>
    <col min="12" max="12" width="12.21875" customWidth="1"/>
    <col min="13" max="13" width="13.44140625" customWidth="1"/>
  </cols>
  <sheetData>
    <row r="1" spans="2:19" ht="15" thickBot="1" x14ac:dyDescent="0.35"/>
    <row r="2" spans="2:19" ht="21.6" customHeight="1" thickBot="1" x14ac:dyDescent="0.35">
      <c r="C2" s="74" t="s">
        <v>104</v>
      </c>
      <c r="E2" s="43" t="s">
        <v>76</v>
      </c>
      <c r="F2" s="37">
        <v>1</v>
      </c>
    </row>
    <row r="3" spans="2:19" ht="15" thickBot="1" x14ac:dyDescent="0.35"/>
    <row r="4" spans="2:19" ht="29.4" thickBot="1" x14ac:dyDescent="0.35">
      <c r="B4" s="14" t="s">
        <v>13</v>
      </c>
      <c r="C4" s="58" t="s">
        <v>0</v>
      </c>
      <c r="D4" s="14" t="s">
        <v>5</v>
      </c>
      <c r="E4" s="14" t="s">
        <v>9</v>
      </c>
      <c r="F4" s="14" t="s">
        <v>8</v>
      </c>
      <c r="G4" s="14" t="s">
        <v>6</v>
      </c>
      <c r="I4" s="14" t="s">
        <v>13</v>
      </c>
      <c r="J4" s="60" t="s">
        <v>1</v>
      </c>
      <c r="K4" s="14" t="s">
        <v>5</v>
      </c>
      <c r="L4" s="14" t="s">
        <v>9</v>
      </c>
      <c r="M4" s="14" t="s">
        <v>8</v>
      </c>
      <c r="N4" s="14" t="s">
        <v>6</v>
      </c>
    </row>
    <row r="5" spans="2:19" x14ac:dyDescent="0.3">
      <c r="B5" s="13">
        <v>1</v>
      </c>
      <c r="C5" s="15" t="s">
        <v>74</v>
      </c>
      <c r="D5" s="16" t="s">
        <v>3</v>
      </c>
      <c r="E5" s="17" t="b">
        <v>0</v>
      </c>
      <c r="F5" s="32" t="str" cm="1">
        <f t="array" ref="F5">_xlfn.IFS(B5=F$2,"IP",E5=FALSE," ",E5=TRUE,"Missing Grade")</f>
        <v>IP</v>
      </c>
      <c r="G5" s="19">
        <v>3</v>
      </c>
      <c r="H5" s="1"/>
      <c r="I5" s="13">
        <v>1</v>
      </c>
      <c r="J5" s="15" t="s">
        <v>11</v>
      </c>
      <c r="K5" s="26" t="s">
        <v>14</v>
      </c>
      <c r="L5" s="18" t="b">
        <v>0</v>
      </c>
      <c r="M5" s="44" t="str" cm="1">
        <f t="array" ref="M5">_xlfn.IFS(I5=F$2,"IP",L5=FALSE," ",L5=TRUE,"Missing Grade")</f>
        <v>IP</v>
      </c>
      <c r="N5" s="28">
        <v>3</v>
      </c>
    </row>
    <row r="6" spans="2:19" x14ac:dyDescent="0.3">
      <c r="B6" s="2" t="s">
        <v>15</v>
      </c>
      <c r="C6" s="4" t="s">
        <v>7</v>
      </c>
      <c r="D6" s="5" t="s">
        <v>2</v>
      </c>
      <c r="E6" s="8" t="b">
        <v>0</v>
      </c>
      <c r="F6" s="10" t="str" cm="1">
        <f t="array" ref="F6">_xlfn.IFS(B6=F$2,"IP",E6=FALSE," ",E6=TRUE,"Missing Grade")</f>
        <v xml:space="preserve"> </v>
      </c>
      <c r="G6" s="6">
        <v>4</v>
      </c>
      <c r="H6" s="1"/>
      <c r="I6" s="2">
        <v>2</v>
      </c>
      <c r="J6" s="4" t="s">
        <v>103</v>
      </c>
      <c r="K6" s="26" t="s">
        <v>14</v>
      </c>
      <c r="L6" s="9" t="b">
        <v>0</v>
      </c>
      <c r="M6" s="18" t="str" cm="1">
        <f t="array" ref="M6">_xlfn.IFS(I6=F$2,"IP",L6=FALSE," ",L6=TRUE,"Missing Grade")</f>
        <v xml:space="preserve"> </v>
      </c>
      <c r="N6" s="10">
        <v>3</v>
      </c>
      <c r="S6" t="str">
        <f t="shared" ref="S6" si="0">M10</f>
        <v xml:space="preserve"> </v>
      </c>
    </row>
    <row r="7" spans="2:19" x14ac:dyDescent="0.3">
      <c r="B7" s="2">
        <v>1</v>
      </c>
      <c r="C7" s="4" t="s">
        <v>10</v>
      </c>
      <c r="D7" s="5" t="s">
        <v>4</v>
      </c>
      <c r="E7" s="8" t="b">
        <v>0</v>
      </c>
      <c r="F7" s="10" t="str" cm="1">
        <f t="array" ref="F7">_xlfn.IFS(B7=F$2,"IP",E7=FALSE," ",E7=TRUE,"Missing Grade")</f>
        <v>IP</v>
      </c>
      <c r="G7" s="6">
        <v>4</v>
      </c>
      <c r="H7" s="1"/>
      <c r="I7" s="2"/>
      <c r="J7" s="4"/>
      <c r="K7" s="21"/>
      <c r="L7" s="9" t="b">
        <v>0</v>
      </c>
      <c r="M7" s="18" t="str" cm="1">
        <f t="array" ref="M7">_xlfn.IFS(I7=F$2,"IP",L7=FALSE," ",L7=TRUE,"Missing Grade")</f>
        <v xml:space="preserve"> </v>
      </c>
      <c r="N7" s="10">
        <v>3</v>
      </c>
    </row>
    <row r="8" spans="2:19" x14ac:dyDescent="0.3">
      <c r="B8" s="2">
        <v>1</v>
      </c>
      <c r="C8" s="68" t="s">
        <v>99</v>
      </c>
      <c r="D8" s="69" t="s">
        <v>100</v>
      </c>
      <c r="E8" s="8" t="b">
        <v>0</v>
      </c>
      <c r="F8" s="10" t="str" cm="1">
        <f t="array" ref="F8">_xlfn.IFS(B8=F$2,"IP",E8=FALSE," ",E8=TRUE,"Missing Grade")</f>
        <v>IP</v>
      </c>
      <c r="G8" s="6">
        <v>3</v>
      </c>
      <c r="H8" s="1"/>
      <c r="I8" s="2"/>
      <c r="J8" s="4"/>
      <c r="K8" s="21"/>
      <c r="L8" s="9" t="b">
        <v>0</v>
      </c>
      <c r="M8" s="18" t="str" cm="1">
        <f t="array" ref="M8">_xlfn.IFS(I8=F$2,"IP",L8=FALSE," ",L8=TRUE,"Missing Grade")</f>
        <v xml:space="preserve"> </v>
      </c>
      <c r="N8" s="10">
        <v>3</v>
      </c>
    </row>
    <row r="9" spans="2:19" x14ac:dyDescent="0.3">
      <c r="B9" s="2">
        <v>1</v>
      </c>
      <c r="C9" s="68" t="s">
        <v>12</v>
      </c>
      <c r="D9" s="69" t="s">
        <v>26</v>
      </c>
      <c r="E9" s="8" t="b">
        <v>0</v>
      </c>
      <c r="F9" s="10" t="str" cm="1">
        <f t="array" ref="F9">_xlfn.IFS(B9=F$2,"IP",E9=FALSE," ",E9=TRUE,"Missing Grade")</f>
        <v>IP</v>
      </c>
      <c r="G9" s="6">
        <v>0</v>
      </c>
      <c r="H9" s="1"/>
      <c r="I9" s="2"/>
      <c r="J9" s="4"/>
      <c r="K9" s="21"/>
      <c r="L9" s="9" t="b">
        <v>0</v>
      </c>
      <c r="M9" s="18" t="str" cm="1">
        <f t="array" ref="M9">_xlfn.IFS(I9=F$2,"IP",L9=FALSE," ",L9=TRUE,"Missing Grade")</f>
        <v xml:space="preserve"> </v>
      </c>
      <c r="N9" s="10">
        <v>3</v>
      </c>
    </row>
    <row r="10" spans="2:19" ht="15" thickBot="1" x14ac:dyDescent="0.35">
      <c r="B10" s="2">
        <v>2</v>
      </c>
      <c r="C10" s="68" t="s">
        <v>75</v>
      </c>
      <c r="D10" s="69" t="s">
        <v>19</v>
      </c>
      <c r="E10" s="8" t="b">
        <v>0</v>
      </c>
      <c r="F10" s="10" t="str" cm="1">
        <f t="array" ref="F10">_xlfn.IFS(B10=F$2,"IP",E10=FALSE," ",E10=TRUE,"Missing Grade")</f>
        <v xml:space="preserve"> </v>
      </c>
      <c r="G10" s="6">
        <v>3</v>
      </c>
      <c r="H10" s="1"/>
      <c r="I10" s="3"/>
      <c r="J10" s="70"/>
      <c r="K10" s="72"/>
      <c r="L10" s="22" t="b">
        <v>0</v>
      </c>
      <c r="M10" s="45" t="str" cm="1">
        <f t="array" ref="M10">_xlfn.IFS(I10=F$2,"IP",L10=FALSE," ",L10=TRUE,"Missing Grade")</f>
        <v xml:space="preserve"> </v>
      </c>
      <c r="N10" s="12">
        <v>3</v>
      </c>
    </row>
    <row r="11" spans="2:19" ht="15" thickBot="1" x14ac:dyDescent="0.35">
      <c r="B11" s="2">
        <v>1</v>
      </c>
      <c r="C11" s="68" t="s">
        <v>20</v>
      </c>
      <c r="D11" s="69" t="s">
        <v>21</v>
      </c>
      <c r="E11" s="8" t="b">
        <v>0</v>
      </c>
      <c r="F11" s="10" t="str" cm="1">
        <f t="array" ref="F11">_xlfn.IFS(B11=F$2,"IP",E11=FALSE," ",E11=TRUE,"Missing Grade")</f>
        <v>IP</v>
      </c>
      <c r="G11" s="6">
        <v>4</v>
      </c>
      <c r="H11" s="1"/>
      <c r="N11" s="1"/>
    </row>
    <row r="12" spans="2:19" x14ac:dyDescent="0.3">
      <c r="B12" s="2">
        <v>2</v>
      </c>
      <c r="C12" s="68" t="s">
        <v>22</v>
      </c>
      <c r="D12" s="69" t="s">
        <v>23</v>
      </c>
      <c r="E12" s="8" t="b">
        <v>0</v>
      </c>
      <c r="F12" s="10" t="str" cm="1">
        <f t="array" ref="F12">_xlfn.IFS(B12=F$2,"IP",E12=FALSE," ",E12=TRUE,"Missing Grade")</f>
        <v xml:space="preserve"> </v>
      </c>
      <c r="G12" s="6">
        <v>4</v>
      </c>
      <c r="H12" s="1"/>
      <c r="J12" s="32" t="s">
        <v>17</v>
      </c>
      <c r="K12" s="29" t="s">
        <v>18</v>
      </c>
      <c r="N12" s="1"/>
    </row>
    <row r="13" spans="2:19" ht="15" thickBot="1" x14ac:dyDescent="0.35">
      <c r="B13" s="2">
        <v>2</v>
      </c>
      <c r="C13" s="68" t="s">
        <v>97</v>
      </c>
      <c r="D13" s="69" t="s">
        <v>98</v>
      </c>
      <c r="E13" s="8" t="b">
        <v>0</v>
      </c>
      <c r="F13" s="10" t="str" cm="1">
        <f t="array" ref="F13">_xlfn.IFS(B13=F$2,"IP",E13=FALSE," ",E13=TRUE,"Missing Grade")</f>
        <v xml:space="preserve"> </v>
      </c>
      <c r="G13" s="6">
        <v>3</v>
      </c>
      <c r="H13" s="1"/>
      <c r="J13" s="33" t="b">
        <v>0</v>
      </c>
      <c r="K13" s="31" t="b">
        <v>1</v>
      </c>
    </row>
    <row r="14" spans="2:19" ht="15" thickBot="1" x14ac:dyDescent="0.35">
      <c r="B14" s="2">
        <v>2</v>
      </c>
      <c r="C14" s="4" t="s">
        <v>24</v>
      </c>
      <c r="D14" s="5" t="s">
        <v>25</v>
      </c>
      <c r="E14" s="8" t="b">
        <v>0</v>
      </c>
      <c r="F14" s="10" t="str" cm="1">
        <f t="array" ref="F14">_xlfn.IFS(B14=F$2,"IP",E14=FALSE," ",E14=TRUE,"Missing Grade")</f>
        <v xml:space="preserve"> </v>
      </c>
      <c r="G14" s="6">
        <v>0</v>
      </c>
      <c r="H14" s="1"/>
    </row>
    <row r="15" spans="2:19" ht="15" thickBot="1" x14ac:dyDescent="0.35">
      <c r="B15" s="2">
        <v>2</v>
      </c>
      <c r="C15" s="4" t="s">
        <v>27</v>
      </c>
      <c r="D15" s="5" t="s">
        <v>28</v>
      </c>
      <c r="E15" s="8" t="b">
        <v>0</v>
      </c>
      <c r="F15" s="10" t="str" cm="1">
        <f t="array" ref="F15">_xlfn.IFS(B15=F$2,"IP",E15=FALSE," ",E15=TRUE,"Missing Grade")</f>
        <v xml:space="preserve"> </v>
      </c>
      <c r="G15" s="6">
        <v>4</v>
      </c>
      <c r="H15" s="1"/>
      <c r="I15" s="30" t="s">
        <v>13</v>
      </c>
      <c r="J15" s="53" t="s">
        <v>16</v>
      </c>
      <c r="K15" s="53" t="s">
        <v>5</v>
      </c>
      <c r="L15" s="14" t="s">
        <v>9</v>
      </c>
      <c r="M15" s="53" t="s">
        <v>8</v>
      </c>
      <c r="N15" s="30" t="s">
        <v>6</v>
      </c>
    </row>
    <row r="16" spans="2:19" x14ac:dyDescent="0.3">
      <c r="B16" s="2">
        <v>2</v>
      </c>
      <c r="C16" s="4" t="s">
        <v>29</v>
      </c>
      <c r="D16" s="5" t="s">
        <v>30</v>
      </c>
      <c r="E16" s="8" t="b">
        <v>0</v>
      </c>
      <c r="F16" s="10" t="str" cm="1">
        <f t="array" ref="F16">_xlfn.IFS(B16=F$2,"IP",E16=FALSE," ",E16=TRUE,"Missing Grade")</f>
        <v xml:space="preserve"> </v>
      </c>
      <c r="G16" s="6">
        <v>3</v>
      </c>
      <c r="H16" s="1"/>
      <c r="I16" s="52"/>
      <c r="J16" s="57" t="s">
        <v>96</v>
      </c>
      <c r="K16" s="34"/>
      <c r="L16" s="73" t="b">
        <v>0</v>
      </c>
      <c r="M16" s="32" t="str" cm="1">
        <f t="array" ref="M16">_xlfn.IFS(I16=F$2,"IP",L16=FALSE," ",L5=TRUE,"Missing Grade")</f>
        <v xml:space="preserve"> </v>
      </c>
      <c r="N16" s="29">
        <v>3</v>
      </c>
    </row>
    <row r="17" spans="2:14" x14ac:dyDescent="0.3">
      <c r="B17" s="2">
        <v>3</v>
      </c>
      <c r="C17" s="4" t="s">
        <v>31</v>
      </c>
      <c r="D17" s="5" t="s">
        <v>36</v>
      </c>
      <c r="E17" s="8" t="b">
        <v>0</v>
      </c>
      <c r="F17" s="10" t="str" cm="1">
        <f t="array" ref="F17">_xlfn.IFS(B17=F$2,"IP",E17=FALSE," ",E17=TRUE,"Missing Grade")</f>
        <v xml:space="preserve"> </v>
      </c>
      <c r="G17" s="6">
        <v>3</v>
      </c>
      <c r="H17" s="1"/>
      <c r="I17" s="2"/>
      <c r="J17" s="48"/>
      <c r="K17" s="4"/>
      <c r="L17" s="8" t="b">
        <v>0</v>
      </c>
      <c r="M17" s="10" t="str" cm="1">
        <f t="array" ref="M17">_xlfn.IFS(I17=F$2,"IP",L17=FALSE," ",L6=TRUE,"Missing Grade")</f>
        <v xml:space="preserve"> </v>
      </c>
      <c r="N17" s="6"/>
    </row>
    <row r="18" spans="2:14" ht="15" thickBot="1" x14ac:dyDescent="0.35">
      <c r="B18" s="2">
        <v>3</v>
      </c>
      <c r="C18" s="4" t="s">
        <v>32</v>
      </c>
      <c r="D18" s="5" t="s">
        <v>33</v>
      </c>
      <c r="E18" s="8" t="b">
        <v>0</v>
      </c>
      <c r="F18" s="10" t="str" cm="1">
        <f t="array" ref="F18">_xlfn.IFS(B18=F$2,"IP",E18=FALSE," ",E18=TRUE,"Missing Grade")</f>
        <v xml:space="preserve"> </v>
      </c>
      <c r="G18" s="6">
        <v>3</v>
      </c>
      <c r="I18" s="3"/>
      <c r="J18" s="47"/>
      <c r="K18" s="20"/>
      <c r="L18" s="11" t="b">
        <v>0</v>
      </c>
      <c r="M18" s="12" t="str" cm="1">
        <f t="array" ref="M18">_xlfn.IFS(I18=F$2,"IP",L18=FALSE," ",L7=TRUE,"Missing Grade")</f>
        <v xml:space="preserve"> </v>
      </c>
      <c r="N18" s="7"/>
    </row>
    <row r="19" spans="2:14" x14ac:dyDescent="0.3">
      <c r="B19" s="2">
        <v>3</v>
      </c>
      <c r="C19" s="4" t="s">
        <v>34</v>
      </c>
      <c r="D19" s="5" t="s">
        <v>35</v>
      </c>
      <c r="E19" s="8" t="b">
        <v>0</v>
      </c>
      <c r="F19" s="10" t="str" cm="1">
        <f t="array" ref="F19">_xlfn.IFS(B19=F$2,"IP",E19=FALSE," ",E19=TRUE,"Missing Grade")</f>
        <v xml:space="preserve"> </v>
      </c>
      <c r="G19" s="6">
        <v>3</v>
      </c>
      <c r="H19" s="1"/>
      <c r="J19" s="59"/>
    </row>
    <row r="20" spans="2:14" x14ac:dyDescent="0.3">
      <c r="B20" s="2">
        <v>3</v>
      </c>
      <c r="C20" s="4" t="s">
        <v>37</v>
      </c>
      <c r="D20" s="5" t="s">
        <v>38</v>
      </c>
      <c r="E20" s="8" t="b">
        <v>0</v>
      </c>
      <c r="F20" s="10" t="str" cm="1">
        <f t="array" ref="F20">_xlfn.IFS(B20=F$2,"IP",E20=FALSE," ",E20=TRUE,"Missing Grade")</f>
        <v xml:space="preserve"> </v>
      </c>
      <c r="G20" s="6">
        <v>3</v>
      </c>
      <c r="H20" s="1"/>
      <c r="J20" s="1"/>
    </row>
    <row r="21" spans="2:14" x14ac:dyDescent="0.3">
      <c r="B21" s="2" t="s">
        <v>91</v>
      </c>
      <c r="C21" s="4" t="s">
        <v>49</v>
      </c>
      <c r="D21" s="5" t="s">
        <v>48</v>
      </c>
      <c r="E21" s="8" t="b">
        <v>0</v>
      </c>
      <c r="F21" s="10" t="str" cm="1">
        <f t="array" ref="F21">_xlfn.IFS(B21=F$2,"IP",E21=FALSE," ",E21=TRUE,"Missing Grade")</f>
        <v xml:space="preserve"> </v>
      </c>
      <c r="G21" s="6">
        <v>3</v>
      </c>
      <c r="H21" s="1"/>
      <c r="I21" s="46"/>
      <c r="J21" s="46"/>
    </row>
    <row r="22" spans="2:14" x14ac:dyDescent="0.3">
      <c r="B22" s="2" t="s">
        <v>93</v>
      </c>
      <c r="C22" s="4" t="s">
        <v>51</v>
      </c>
      <c r="D22" s="5" t="s">
        <v>50</v>
      </c>
      <c r="E22" s="8" t="b">
        <v>0</v>
      </c>
      <c r="F22" s="10" t="str" cm="1">
        <f t="array" ref="F22">_xlfn.IFS(B22=F$2,"IP",E22=FALSE," ",E22=TRUE,"Missing Grade")</f>
        <v xml:space="preserve"> </v>
      </c>
      <c r="G22" s="6">
        <v>3</v>
      </c>
      <c r="H22" s="1"/>
      <c r="I22"/>
    </row>
    <row r="23" spans="2:14" x14ac:dyDescent="0.3">
      <c r="B23" s="2" t="s">
        <v>93</v>
      </c>
      <c r="C23" s="4" t="s">
        <v>52</v>
      </c>
      <c r="D23" s="5" t="s">
        <v>53</v>
      </c>
      <c r="E23" s="8" t="b">
        <v>0</v>
      </c>
      <c r="F23" s="10" t="str" cm="1">
        <f t="array" ref="F23">_xlfn.IFS(B23=F$2,"IP",E23=FALSE," ",E23=TRUE,"Missing Grade")</f>
        <v xml:space="preserve"> </v>
      </c>
      <c r="G23" s="6">
        <v>3</v>
      </c>
      <c r="H23" s="1"/>
      <c r="I23"/>
    </row>
    <row r="24" spans="2:14" x14ac:dyDescent="0.3">
      <c r="B24" s="2" t="s">
        <v>93</v>
      </c>
      <c r="C24" s="4" t="s">
        <v>55</v>
      </c>
      <c r="D24" s="5" t="s">
        <v>54</v>
      </c>
      <c r="E24" s="8" t="b">
        <v>0</v>
      </c>
      <c r="F24" s="10" t="str" cm="1">
        <f t="array" ref="F24">_xlfn.IFS(B24=F$2,"IP",E24=FALSE," ",E24=TRUE,"Missing Grade")</f>
        <v xml:space="preserve"> </v>
      </c>
      <c r="G24" s="6">
        <v>3</v>
      </c>
      <c r="H24" s="1"/>
      <c r="I24"/>
    </row>
    <row r="25" spans="2:14" x14ac:dyDescent="0.3">
      <c r="B25" s="2" t="s">
        <v>92</v>
      </c>
      <c r="C25" s="4" t="s">
        <v>57</v>
      </c>
      <c r="D25" s="5" t="s">
        <v>56</v>
      </c>
      <c r="E25" s="8" t="b">
        <v>0</v>
      </c>
      <c r="F25" s="10" t="str" cm="1">
        <f t="array" ref="F25">_xlfn.IFS(B25=F$2,"IP",E25=FALSE," ",E25=TRUE,"Missing Grade")</f>
        <v xml:space="preserve"> </v>
      </c>
      <c r="G25" s="6">
        <v>3</v>
      </c>
      <c r="H25" s="1"/>
      <c r="I25"/>
    </row>
    <row r="26" spans="2:14" x14ac:dyDescent="0.3">
      <c r="B26" s="2" t="s">
        <v>92</v>
      </c>
      <c r="C26" s="4" t="s">
        <v>58</v>
      </c>
      <c r="D26" s="5" t="s">
        <v>59</v>
      </c>
      <c r="E26" s="8" t="b">
        <v>0</v>
      </c>
      <c r="F26" s="10" t="str" cm="1">
        <f t="array" ref="F26">_xlfn.IFS(B26=F$2,"IP",E26=FALSE," ",E26=TRUE,"Missing Grade")</f>
        <v xml:space="preserve"> </v>
      </c>
      <c r="G26" s="6">
        <v>3</v>
      </c>
      <c r="H26" s="1"/>
    </row>
    <row r="27" spans="2:14" x14ac:dyDescent="0.3">
      <c r="B27" s="2" t="s">
        <v>92</v>
      </c>
      <c r="C27" s="4" t="s">
        <v>60</v>
      </c>
      <c r="D27" s="5" t="s">
        <v>61</v>
      </c>
      <c r="E27" s="8" t="b">
        <v>0</v>
      </c>
      <c r="F27" s="10" t="str" cm="1">
        <f t="array" ref="F27">_xlfn.IFS(B27=F$2,"IP",E27=FALSE," ",E27=TRUE,"Missing Grade")</f>
        <v xml:space="preserve"> </v>
      </c>
      <c r="G27" s="6">
        <v>3</v>
      </c>
      <c r="H27" s="1"/>
    </row>
    <row r="28" spans="2:14" x14ac:dyDescent="0.3">
      <c r="B28" s="2" t="s">
        <v>93</v>
      </c>
      <c r="C28" s="4" t="s">
        <v>62</v>
      </c>
      <c r="D28" s="5" t="s">
        <v>63</v>
      </c>
      <c r="E28" s="8" t="b">
        <v>0</v>
      </c>
      <c r="F28" s="10" t="str" cm="1">
        <f t="array" ref="F28">_xlfn.IFS(B28=F$2,"IP",E28=FALSE," ",E28=TRUE,"Missing Grade")</f>
        <v xml:space="preserve"> </v>
      </c>
      <c r="G28" s="6">
        <v>3</v>
      </c>
      <c r="H28" s="1"/>
    </row>
    <row r="29" spans="2:14" x14ac:dyDescent="0.3">
      <c r="B29" s="2" t="s">
        <v>93</v>
      </c>
      <c r="C29" s="4" t="s">
        <v>64</v>
      </c>
      <c r="D29" s="5" t="s">
        <v>65</v>
      </c>
      <c r="E29" s="8" t="b">
        <v>0</v>
      </c>
      <c r="F29" s="10" t="str" cm="1">
        <f t="array" ref="F29">_xlfn.IFS(B29=F$2,"IP",E29=FALSE," ",E29=TRUE,"Missing Grade")</f>
        <v xml:space="preserve"> </v>
      </c>
      <c r="G29" s="6">
        <v>3</v>
      </c>
      <c r="H29" s="1"/>
    </row>
    <row r="30" spans="2:14" x14ac:dyDescent="0.3">
      <c r="B30" s="2" t="s">
        <v>92</v>
      </c>
      <c r="C30" s="4" t="s">
        <v>66</v>
      </c>
      <c r="D30" s="5" t="s">
        <v>67</v>
      </c>
      <c r="E30" s="8" t="b">
        <v>0</v>
      </c>
      <c r="F30" s="10" t="str" cm="1">
        <f t="array" ref="F30">_xlfn.IFS(B30=F$2,"IP",E30=FALSE," ",E30=TRUE,"Missing Grade")</f>
        <v xml:space="preserve"> </v>
      </c>
      <c r="G30" s="6">
        <v>3</v>
      </c>
      <c r="H30" s="1"/>
    </row>
    <row r="31" spans="2:14" x14ac:dyDescent="0.3">
      <c r="B31" s="2" t="s">
        <v>91</v>
      </c>
      <c r="C31" s="4" t="s">
        <v>70</v>
      </c>
      <c r="D31" s="5" t="s">
        <v>69</v>
      </c>
      <c r="E31" s="8" t="b">
        <v>0</v>
      </c>
      <c r="F31" s="10" t="str" cm="1">
        <f t="array" ref="F31">_xlfn.IFS(B31=F$2,"IP",E31=FALSE," ",E31=TRUE,"Missing Grade")</f>
        <v xml:space="preserve"> </v>
      </c>
      <c r="G31" s="6">
        <v>3</v>
      </c>
      <c r="H31" s="1"/>
    </row>
    <row r="32" spans="2:14" x14ac:dyDescent="0.3">
      <c r="B32" s="2" t="s">
        <v>94</v>
      </c>
      <c r="C32" s="4" t="s">
        <v>72</v>
      </c>
      <c r="D32" s="5" t="s">
        <v>71</v>
      </c>
      <c r="E32" s="8" t="b">
        <v>0</v>
      </c>
      <c r="F32" s="10" t="str" cm="1">
        <f t="array" ref="F32">_xlfn.IFS(B32=F$2,"IP",E32=FALSE," ",E32=TRUE,"Missing Grade")</f>
        <v xml:space="preserve"> </v>
      </c>
      <c r="G32" s="6">
        <v>3</v>
      </c>
      <c r="H32" s="1"/>
    </row>
    <row r="33" spans="2:8" ht="15" thickBot="1" x14ac:dyDescent="0.35">
      <c r="B33" s="3" t="s">
        <v>91</v>
      </c>
      <c r="C33" s="70" t="s">
        <v>101</v>
      </c>
      <c r="D33" s="71" t="s">
        <v>102</v>
      </c>
      <c r="E33" s="11" t="b">
        <v>0</v>
      </c>
      <c r="F33" s="12" t="str" cm="1">
        <f t="array" ref="F33">_xlfn.IFS(B33=F$2,"IP",E33=FALSE," ",E33=TRUE,"Missing Grade")</f>
        <v xml:space="preserve"> </v>
      </c>
      <c r="G33" s="7">
        <v>3</v>
      </c>
      <c r="H33" s="1"/>
    </row>
    <row r="35" spans="2:8" ht="15" thickBot="1" x14ac:dyDescent="0.35">
      <c r="E35" s="1"/>
      <c r="F35" s="1"/>
      <c r="G35" s="1"/>
      <c r="H35" s="1"/>
    </row>
    <row r="36" spans="2:8" ht="15" thickBot="1" x14ac:dyDescent="0.35">
      <c r="B36" s="14" t="s">
        <v>13</v>
      </c>
      <c r="C36" s="61" t="s">
        <v>43</v>
      </c>
      <c r="D36" s="56" t="s">
        <v>5</v>
      </c>
      <c r="E36" s="14" t="s">
        <v>9</v>
      </c>
      <c r="F36" s="54" t="s">
        <v>8</v>
      </c>
      <c r="G36" s="14" t="s">
        <v>6</v>
      </c>
      <c r="H36" s="1"/>
    </row>
    <row r="37" spans="2:8" x14ac:dyDescent="0.3">
      <c r="B37" s="28"/>
      <c r="C37" s="26" t="s">
        <v>68</v>
      </c>
      <c r="D37" s="34"/>
      <c r="E37" s="27" t="b">
        <v>0</v>
      </c>
      <c r="F37" s="32" t="str" cm="1">
        <f t="array" ref="F37">_xlfn.IFS(B37=F$2,"IP",E37=FALSE," ",E37=TRUE,"Missing Connection to Grade Calculator")</f>
        <v xml:space="preserve"> </v>
      </c>
      <c r="G37" s="19">
        <v>3</v>
      </c>
      <c r="H37" s="1"/>
    </row>
    <row r="38" spans="2:8" x14ac:dyDescent="0.3">
      <c r="B38" s="10"/>
      <c r="C38" s="21" t="s">
        <v>73</v>
      </c>
      <c r="D38" s="4"/>
      <c r="E38" s="40" t="b">
        <v>0</v>
      </c>
      <c r="F38" s="10" t="str" cm="1">
        <f t="array" ref="F38">_xlfn.IFS(B38=F$2,"IP",E38=FALSE," ",E38=TRUE,"Missing Connection to Grade Calculator")</f>
        <v xml:space="preserve"> </v>
      </c>
      <c r="G38" s="6">
        <v>3</v>
      </c>
      <c r="H38" s="1"/>
    </row>
    <row r="39" spans="2:8" x14ac:dyDescent="0.3">
      <c r="B39" s="10"/>
      <c r="C39" s="21" t="s">
        <v>44</v>
      </c>
      <c r="D39" s="4"/>
      <c r="E39" s="40" t="b">
        <v>0</v>
      </c>
      <c r="F39" s="10" t="str" cm="1">
        <f t="array" ref="F39">_xlfn.IFS(B39=F$2,"IP",E39=FALSE," ",E39=TRUE,'[1]Semester 3'!$T$12)</f>
        <v xml:space="preserve"> </v>
      </c>
      <c r="G39" s="6">
        <v>3</v>
      </c>
      <c r="H39" s="1"/>
    </row>
    <row r="40" spans="2:8" x14ac:dyDescent="0.3">
      <c r="B40" s="10"/>
      <c r="C40" s="21" t="s">
        <v>44</v>
      </c>
      <c r="D40" s="4"/>
      <c r="E40" s="40" t="b">
        <v>0</v>
      </c>
      <c r="F40" s="10" t="str" cm="1">
        <f t="array" ref="F40">_xlfn.IFS(B40=F$2,"IP",E40=FALSE," ",E40=TRUE,"Missing Connection to Grade Calculator")</f>
        <v xml:space="preserve"> </v>
      </c>
      <c r="G40" s="6">
        <v>3</v>
      </c>
      <c r="H40" s="1"/>
    </row>
    <row r="41" spans="2:8" x14ac:dyDescent="0.3">
      <c r="B41" s="10"/>
      <c r="C41" s="21" t="s">
        <v>44</v>
      </c>
      <c r="D41" s="4"/>
      <c r="E41" s="40" t="b">
        <v>0</v>
      </c>
      <c r="F41" s="10" t="str" cm="1">
        <f t="array" ref="F41">_xlfn.IFS(B41=F$2,"IP",E41=FALSE," ",E41=TRUE,"Missing Connection to Grade Calculator")</f>
        <v xml:space="preserve"> </v>
      </c>
      <c r="G41" s="6">
        <v>3</v>
      </c>
      <c r="H41" s="1"/>
    </row>
    <row r="42" spans="2:8" ht="15" thickBot="1" x14ac:dyDescent="0.35">
      <c r="B42" s="12"/>
      <c r="C42" s="39" t="s">
        <v>44</v>
      </c>
      <c r="D42" s="20"/>
      <c r="E42" s="41" t="b">
        <v>0</v>
      </c>
      <c r="F42" s="12" t="str" cm="1">
        <f t="array" ref="F42">_xlfn.IFS(B42=F$2,"IP",E42=FALSE," ",E42=TRUE,"Missing Connection to Grade Calculator")</f>
        <v xml:space="preserve"> </v>
      </c>
      <c r="G42" s="7">
        <v>3</v>
      </c>
      <c r="H42" s="1"/>
    </row>
    <row r="43" spans="2:8" x14ac:dyDescent="0.3">
      <c r="E43" s="1"/>
      <c r="F43" s="1"/>
      <c r="G43" s="1"/>
      <c r="H43" s="1"/>
    </row>
    <row r="44" spans="2:8" x14ac:dyDescent="0.3">
      <c r="E44" s="1"/>
      <c r="F44" s="1"/>
      <c r="G44" s="1"/>
      <c r="H44" s="1"/>
    </row>
    <row r="45" spans="2:8" x14ac:dyDescent="0.3">
      <c r="E45" s="1"/>
      <c r="F45" s="1"/>
      <c r="G45" s="1"/>
      <c r="H45" s="1"/>
    </row>
    <row r="46" spans="2:8" x14ac:dyDescent="0.3">
      <c r="D46" s="1"/>
      <c r="E46" s="1"/>
      <c r="F46" s="1"/>
      <c r="G46" s="1"/>
      <c r="H46" s="1"/>
    </row>
    <row r="47" spans="2:8" x14ac:dyDescent="0.3">
      <c r="B47"/>
      <c r="F47" s="1"/>
      <c r="G47" s="1"/>
      <c r="H47" s="1"/>
    </row>
    <row r="48" spans="2:8" x14ac:dyDescent="0.3">
      <c r="E48" s="1"/>
      <c r="F48" s="1"/>
      <c r="G48" s="1"/>
      <c r="H48" s="1"/>
    </row>
    <row r="49" spans="5:8" x14ac:dyDescent="0.3">
      <c r="E49" s="1"/>
      <c r="F49" s="1"/>
      <c r="G49" s="1"/>
      <c r="H49" s="1"/>
    </row>
    <row r="50" spans="5:8" x14ac:dyDescent="0.3">
      <c r="E50" s="1"/>
      <c r="F50" s="1"/>
      <c r="G50" s="1"/>
      <c r="H50" s="1"/>
    </row>
    <row r="51" spans="5:8" x14ac:dyDescent="0.3">
      <c r="E51" s="1"/>
      <c r="F51" s="1"/>
      <c r="G51" s="1"/>
      <c r="H51" s="1"/>
    </row>
    <row r="52" spans="5:8" x14ac:dyDescent="0.3">
      <c r="E52" s="1"/>
      <c r="F52" s="1"/>
      <c r="G52" s="1"/>
      <c r="H52" s="1"/>
    </row>
    <row r="53" spans="5:8" x14ac:dyDescent="0.3">
      <c r="E53" s="1"/>
      <c r="F53" s="1"/>
      <c r="G53" s="1"/>
      <c r="H53" s="1"/>
    </row>
    <row r="54" spans="5:8" x14ac:dyDescent="0.3">
      <c r="E54" s="1"/>
      <c r="F54" s="1"/>
      <c r="G54" s="1"/>
      <c r="H54" s="1"/>
    </row>
    <row r="55" spans="5:8" x14ac:dyDescent="0.3">
      <c r="E55" s="1"/>
      <c r="F55" s="1"/>
      <c r="G55" s="1"/>
      <c r="H55" s="1"/>
    </row>
    <row r="56" spans="5:8" x14ac:dyDescent="0.3">
      <c r="E56" s="1"/>
      <c r="F56" s="1"/>
      <c r="G56" s="1"/>
      <c r="H56" s="1"/>
    </row>
    <row r="57" spans="5:8" x14ac:dyDescent="0.3">
      <c r="E57" s="1"/>
      <c r="F57" s="1"/>
      <c r="G57" s="1"/>
      <c r="H57" s="1"/>
    </row>
    <row r="58" spans="5:8" x14ac:dyDescent="0.3">
      <c r="E58" s="1"/>
      <c r="F58" s="1"/>
      <c r="G58" s="1"/>
      <c r="H58" s="1"/>
    </row>
    <row r="59" spans="5:8" x14ac:dyDescent="0.3">
      <c r="E59" s="1"/>
      <c r="F59" s="1"/>
      <c r="G59" s="1"/>
      <c r="H59" s="1"/>
    </row>
    <row r="60" spans="5:8" x14ac:dyDescent="0.3">
      <c r="E60" s="1"/>
      <c r="F60" s="1"/>
      <c r="G60" s="1"/>
      <c r="H60" s="1"/>
    </row>
    <row r="61" spans="5:8" x14ac:dyDescent="0.3">
      <c r="E61" s="1"/>
      <c r="F61" s="1"/>
      <c r="G61" s="1"/>
      <c r="H61" s="1"/>
    </row>
    <row r="62" spans="5:8" x14ac:dyDescent="0.3">
      <c r="E62" s="1"/>
      <c r="F62" s="1"/>
      <c r="G62" s="1"/>
      <c r="H62" s="1"/>
    </row>
    <row r="63" spans="5:8" x14ac:dyDescent="0.3">
      <c r="E63" s="1"/>
      <c r="F63" s="1"/>
      <c r="G63" s="1"/>
      <c r="H63" s="1"/>
    </row>
    <row r="64" spans="5:8" x14ac:dyDescent="0.3">
      <c r="E64" s="1"/>
      <c r="F64" s="1"/>
      <c r="G64" s="1"/>
      <c r="H64" s="1"/>
    </row>
    <row r="65" spans="5:8" x14ac:dyDescent="0.3">
      <c r="E65" s="1"/>
      <c r="F65" s="1"/>
      <c r="G65" s="1"/>
      <c r="H65" s="1"/>
    </row>
    <row r="66" spans="5:8" x14ac:dyDescent="0.3">
      <c r="E66" s="1"/>
      <c r="F66" s="1"/>
      <c r="G66" s="1"/>
      <c r="H66" s="1"/>
    </row>
    <row r="67" spans="5:8" x14ac:dyDescent="0.3">
      <c r="E67" s="1"/>
      <c r="F67" s="1"/>
      <c r="G67" s="1"/>
      <c r="H67" s="1"/>
    </row>
    <row r="68" spans="5:8" x14ac:dyDescent="0.3">
      <c r="E68" s="1"/>
      <c r="F68" s="1"/>
      <c r="G68" s="1"/>
      <c r="H68" s="1"/>
    </row>
    <row r="69" spans="5:8" x14ac:dyDescent="0.3">
      <c r="E69" s="1"/>
      <c r="F69" s="1"/>
      <c r="G69" s="1"/>
      <c r="H69" s="1"/>
    </row>
    <row r="70" spans="5:8" x14ac:dyDescent="0.3">
      <c r="E70" s="1"/>
      <c r="F70" s="1"/>
      <c r="G70" s="1"/>
      <c r="H70" s="1"/>
    </row>
    <row r="71" spans="5:8" x14ac:dyDescent="0.3">
      <c r="E71" s="1"/>
      <c r="F71" s="1"/>
      <c r="G71" s="1"/>
      <c r="H71" s="1"/>
    </row>
    <row r="72" spans="5:8" x14ac:dyDescent="0.3">
      <c r="E72" s="1"/>
      <c r="F72" s="1"/>
      <c r="G72" s="1"/>
      <c r="H72" s="1"/>
    </row>
    <row r="73" spans="5:8" x14ac:dyDescent="0.3">
      <c r="E73" s="1"/>
      <c r="F73" s="1"/>
      <c r="G73" s="1"/>
      <c r="H73" s="1"/>
    </row>
    <row r="74" spans="5:8" x14ac:dyDescent="0.3">
      <c r="E74" s="1"/>
      <c r="F74" s="1"/>
      <c r="G74" s="1"/>
      <c r="H74" s="1"/>
    </row>
    <row r="75" spans="5:8" x14ac:dyDescent="0.3">
      <c r="E75" s="1"/>
      <c r="F75" s="1"/>
      <c r="G75" s="1"/>
      <c r="H75" s="1"/>
    </row>
    <row r="76" spans="5:8" x14ac:dyDescent="0.3">
      <c r="E76" s="1"/>
      <c r="F76" s="1"/>
      <c r="G76" s="1"/>
      <c r="H76" s="1"/>
    </row>
    <row r="77" spans="5:8" x14ac:dyDescent="0.3">
      <c r="E77" s="1"/>
      <c r="F77" s="1"/>
      <c r="G77" s="1"/>
      <c r="H77" s="1"/>
    </row>
    <row r="78" spans="5:8" x14ac:dyDescent="0.3">
      <c r="E78" s="1"/>
      <c r="F78" s="1"/>
      <c r="G78" s="1"/>
      <c r="H78" s="1"/>
    </row>
    <row r="79" spans="5:8" x14ac:dyDescent="0.3">
      <c r="E79" s="1"/>
      <c r="F79" s="1"/>
      <c r="G79" s="1"/>
      <c r="H79" s="1"/>
    </row>
    <row r="80" spans="5:8" x14ac:dyDescent="0.3">
      <c r="E80" s="1"/>
      <c r="F80" s="1"/>
      <c r="G80" s="1"/>
      <c r="H80" s="1"/>
    </row>
    <row r="81" spans="5:8" x14ac:dyDescent="0.3">
      <c r="E81" s="1"/>
      <c r="F81" s="1"/>
      <c r="G81" s="1"/>
      <c r="H81" s="1"/>
    </row>
    <row r="82" spans="5:8" x14ac:dyDescent="0.3">
      <c r="E82" s="1"/>
      <c r="F82" s="1"/>
      <c r="G82" s="1"/>
      <c r="H82" s="1"/>
    </row>
    <row r="83" spans="5:8" x14ac:dyDescent="0.3">
      <c r="E83" s="1"/>
      <c r="F83" s="1"/>
      <c r="G83" s="1"/>
      <c r="H83" s="1"/>
    </row>
    <row r="84" spans="5:8" x14ac:dyDescent="0.3">
      <c r="E84" s="1"/>
      <c r="F84" s="1"/>
      <c r="G84" s="1"/>
      <c r="H84" s="1"/>
    </row>
    <row r="85" spans="5:8" x14ac:dyDescent="0.3">
      <c r="E85" s="1"/>
      <c r="F85" s="1"/>
      <c r="G85" s="1"/>
      <c r="H85" s="1"/>
    </row>
    <row r="86" spans="5:8" x14ac:dyDescent="0.3">
      <c r="E86" s="1"/>
      <c r="F86" s="1"/>
      <c r="G86" s="1"/>
      <c r="H86" s="1"/>
    </row>
    <row r="87" spans="5:8" x14ac:dyDescent="0.3">
      <c r="E87" s="1"/>
      <c r="F87" s="1"/>
      <c r="G87" s="1"/>
      <c r="H87" s="1"/>
    </row>
    <row r="88" spans="5:8" x14ac:dyDescent="0.3">
      <c r="E88" s="1"/>
      <c r="F88" s="1"/>
      <c r="G88" s="1"/>
      <c r="H88" s="1"/>
    </row>
    <row r="89" spans="5:8" x14ac:dyDescent="0.3">
      <c r="E89" s="1"/>
      <c r="F89" s="1"/>
      <c r="G89" s="1"/>
      <c r="H89" s="1"/>
    </row>
    <row r="90" spans="5:8" x14ac:dyDescent="0.3">
      <c r="E90" s="1"/>
      <c r="F90" s="1"/>
      <c r="G90" s="1"/>
      <c r="H90" s="1"/>
    </row>
    <row r="91" spans="5:8" x14ac:dyDescent="0.3">
      <c r="E91" s="1"/>
      <c r="F91" s="1"/>
      <c r="G91" s="1"/>
      <c r="H91" s="1"/>
    </row>
    <row r="92" spans="5:8" x14ac:dyDescent="0.3">
      <c r="E92" s="1"/>
      <c r="F92" s="1"/>
      <c r="G92" s="1"/>
      <c r="H92" s="1"/>
    </row>
    <row r="93" spans="5:8" x14ac:dyDescent="0.3">
      <c r="E93" s="1"/>
      <c r="F93" s="1"/>
      <c r="G93" s="1"/>
      <c r="H93" s="1"/>
    </row>
    <row r="94" spans="5:8" x14ac:dyDescent="0.3">
      <c r="E94" s="1"/>
      <c r="F94" s="1"/>
      <c r="G94" s="1"/>
      <c r="H94" s="1"/>
    </row>
    <row r="95" spans="5:8" x14ac:dyDescent="0.3">
      <c r="E95" s="1"/>
      <c r="F95" s="1"/>
      <c r="G95" s="1"/>
      <c r="H95" s="1"/>
    </row>
    <row r="96" spans="5:8" x14ac:dyDescent="0.3">
      <c r="E96" s="1"/>
      <c r="F96" s="1"/>
      <c r="G96" s="1"/>
      <c r="H96" s="1"/>
    </row>
    <row r="97" spans="5:8" x14ac:dyDescent="0.3">
      <c r="E97" s="1"/>
      <c r="F97" s="1"/>
      <c r="G97" s="1"/>
      <c r="H97" s="1"/>
    </row>
    <row r="98" spans="5:8" x14ac:dyDescent="0.3">
      <c r="E98" s="1"/>
      <c r="F98" s="1"/>
      <c r="G98" s="1"/>
      <c r="H98" s="1"/>
    </row>
    <row r="99" spans="5:8" x14ac:dyDescent="0.3">
      <c r="E99" s="1"/>
      <c r="F99" s="1"/>
      <c r="G99" s="1"/>
      <c r="H99" s="1"/>
    </row>
    <row r="100" spans="5:8" x14ac:dyDescent="0.3">
      <c r="E100" s="1"/>
      <c r="F100" s="1"/>
      <c r="G100" s="1"/>
      <c r="H100" s="1"/>
    </row>
    <row r="101" spans="5:8" x14ac:dyDescent="0.3">
      <c r="E101" s="1"/>
      <c r="F101" s="1"/>
      <c r="G101" s="1"/>
      <c r="H101" s="1"/>
    </row>
    <row r="102" spans="5:8" x14ac:dyDescent="0.3">
      <c r="E102" s="1"/>
      <c r="F102" s="1"/>
      <c r="G102" s="1"/>
      <c r="H102" s="1"/>
    </row>
    <row r="103" spans="5:8" x14ac:dyDescent="0.3">
      <c r="E103" s="1"/>
      <c r="F103" s="1"/>
      <c r="G103" s="1"/>
      <c r="H103" s="1"/>
    </row>
    <row r="104" spans="5:8" x14ac:dyDescent="0.3">
      <c r="E104" s="1"/>
      <c r="F104" s="1"/>
      <c r="G104" s="1"/>
      <c r="H104" s="1"/>
    </row>
    <row r="105" spans="5:8" x14ac:dyDescent="0.3">
      <c r="E105" s="1"/>
      <c r="F105" s="1"/>
      <c r="G105" s="1"/>
      <c r="H105" s="1"/>
    </row>
    <row r="106" spans="5:8" x14ac:dyDescent="0.3">
      <c r="E106" s="1"/>
      <c r="F106" s="1"/>
      <c r="G106" s="1"/>
      <c r="H106" s="1"/>
    </row>
  </sheetData>
  <phoneticPr fontId="1" type="noConversion"/>
  <conditionalFormatting sqref="J13:K13">
    <cfRule type="cellIs" dxfId="5" priority="3" operator="equal">
      <formula>TRUE</formula>
    </cfRule>
    <cfRule type="cellIs" dxfId="4" priority="4" operator="equal">
      <formula>FALSE</formula>
    </cfRule>
  </conditionalFormatting>
  <conditionalFormatting sqref="L5:L10 E5:E33 E37:E42">
    <cfRule type="cellIs" dxfId="3" priority="5" operator="equal">
      <formula>FALSE</formula>
    </cfRule>
  </conditionalFormatting>
  <conditionalFormatting sqref="L16:L18">
    <cfRule type="cellIs" dxfId="1" priority="1" operator="equal">
      <formula>FALSE</formula>
    </cfRule>
  </conditionalFormatting>
  <hyperlinks>
    <hyperlink ref="J4" r:id="rId1" xr:uid="{F5E2C3D3-0089-4861-9737-D5EBC79470C3}"/>
    <hyperlink ref="C36" r:id="rId2" xr:uid="{81733981-A0B2-4378-B6E4-D7D94BB7C293}"/>
    <hyperlink ref="C4" r:id="rId3" xr:uid="{F1E87B19-3E16-4A9D-B90C-F3CA7196774D}"/>
  </hyperlinks>
  <pageMargins left="0.7" right="0.7" top="0.75" bottom="0.75" header="0.3" footer="0.3"/>
  <pageSetup orientation="portrait" r:id="rId4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187C6431-53A5-4C5C-8629-DACC7B5D0519}">
            <xm:f>NOT(ISERROR(SEARCH(TRUE,E5)))</xm:f>
            <xm:f>TRUE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L5:L10 E5:E33 E37:E42</xm:sqref>
        </x14:conditionalFormatting>
        <x14:conditionalFormatting xmlns:xm="http://schemas.microsoft.com/office/excel/2006/main">
          <x14:cfRule type="containsText" priority="2" operator="containsText" id="{775980AB-D0E6-4D01-BFCA-9D68E2246F12}">
            <xm:f>NOT(ISERROR(SEARCH(TRUE,L16)))</xm:f>
            <xm:f>TRUE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L16:L18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E49C-06D3-431F-B6A4-AB708242D9E0}">
  <dimension ref="B1:J48"/>
  <sheetViews>
    <sheetView zoomScale="104" workbookViewId="0">
      <selection activeCell="C4" sqref="C4"/>
    </sheetView>
  </sheetViews>
  <sheetFormatPr defaultRowHeight="14.4" x14ac:dyDescent="0.3"/>
  <cols>
    <col min="2" max="2" width="22.5546875" customWidth="1"/>
    <col min="4" max="4" width="9.77734375" customWidth="1"/>
    <col min="5" max="5" width="31.6640625" customWidth="1"/>
    <col min="6" max="6" width="10.88671875" customWidth="1"/>
    <col min="7" max="7" width="25" customWidth="1"/>
    <col min="9" max="9" width="20.44140625" style="1" customWidth="1"/>
    <col min="10" max="10" width="14.88671875" customWidth="1"/>
    <col min="12" max="12" width="11" customWidth="1"/>
  </cols>
  <sheetData>
    <row r="1" spans="2:10" ht="15" thickBot="1" x14ac:dyDescent="0.35"/>
    <row r="2" spans="2:10" ht="15" thickBot="1" x14ac:dyDescent="0.35">
      <c r="B2" s="42" t="s">
        <v>79</v>
      </c>
      <c r="C2" s="30" t="s">
        <v>47</v>
      </c>
    </row>
    <row r="3" spans="2:10" ht="15" thickBot="1" x14ac:dyDescent="0.35">
      <c r="B3" s="36">
        <f>COUNTIF(E7:E52,FALSE)</f>
        <v>0</v>
      </c>
      <c r="C3" s="35" t="e">
        <f>(SUMIF(E7:E52,FALSE,(G7:G52)))/(SUMIF(E7:E52,FALSE,(D7:D52)))</f>
        <v>#DIV/0!</v>
      </c>
      <c r="I3" s="65" t="s">
        <v>89</v>
      </c>
      <c r="J3" s="67"/>
    </row>
    <row r="4" spans="2:10" ht="29.4" thickBot="1" x14ac:dyDescent="0.35">
      <c r="I4" s="43" t="s">
        <v>80</v>
      </c>
      <c r="J4" s="25" t="s">
        <v>81</v>
      </c>
    </row>
    <row r="5" spans="2:10" ht="15" thickBot="1" x14ac:dyDescent="0.35">
      <c r="B5" s="65" t="s">
        <v>78</v>
      </c>
      <c r="C5" s="66"/>
      <c r="D5" s="66"/>
      <c r="E5" s="66"/>
      <c r="F5" s="66"/>
      <c r="G5" s="67"/>
      <c r="I5" s="51">
        <v>0</v>
      </c>
      <c r="J5" s="38" t="s">
        <v>82</v>
      </c>
    </row>
    <row r="6" spans="2:10" ht="15" thickBot="1" x14ac:dyDescent="0.35">
      <c r="B6" s="51" t="s">
        <v>77</v>
      </c>
      <c r="C6" s="38" t="s">
        <v>8</v>
      </c>
      <c r="D6" s="38" t="s">
        <v>6</v>
      </c>
      <c r="E6" s="75" t="s">
        <v>87</v>
      </c>
      <c r="F6" s="38" t="s">
        <v>90</v>
      </c>
      <c r="G6" s="53" t="s">
        <v>95</v>
      </c>
      <c r="I6" s="51">
        <v>24</v>
      </c>
      <c r="J6" s="38" t="s">
        <v>83</v>
      </c>
    </row>
    <row r="7" spans="2:10" x14ac:dyDescent="0.3">
      <c r="B7" s="52" t="b">
        <f>'BS Mechanical Engineering'!E5</f>
        <v>0</v>
      </c>
      <c r="C7" s="76" t="str">
        <f>'BS Mechanical Engineering'!F5</f>
        <v>IP</v>
      </c>
      <c r="D7" s="77">
        <f>'BS Mechanical Engineering'!G5</f>
        <v>3</v>
      </c>
      <c r="E7" s="32" t="b">
        <f>OR(C7="N/A",C7="IP",C7=" ",C7="Missing Grade",B7=FALSE)</f>
        <v>1</v>
      </c>
      <c r="F7" s="78" t="str">
        <f t="shared" ref="F7:F52" si="0">IF(E7=FALSE,(VLOOKUP(C7,I$12:J$24,2)),"N/A")</f>
        <v>N/A</v>
      </c>
      <c r="G7" s="32" t="e">
        <f>F7*D7</f>
        <v>#VALUE!</v>
      </c>
      <c r="I7" s="51">
        <v>54</v>
      </c>
      <c r="J7" s="38" t="s">
        <v>84</v>
      </c>
    </row>
    <row r="8" spans="2:10" ht="15" thickBot="1" x14ac:dyDescent="0.35">
      <c r="B8" s="2" t="b">
        <f>'BS Mechanical Engineering'!E6</f>
        <v>0</v>
      </c>
      <c r="C8" s="10" t="str">
        <f>'BS Mechanical Engineering'!F6</f>
        <v xml:space="preserve"> </v>
      </c>
      <c r="D8" s="23">
        <f>'BS Mechanical Engineering'!G6</f>
        <v>4</v>
      </c>
      <c r="E8" s="10" t="b">
        <f t="shared" ref="E8:E48" si="1">OR(C8="N/A",C8="IP",C8=" ",C8="Missing Grade",B8=FALSE)</f>
        <v>1</v>
      </c>
      <c r="F8" s="23" t="str">
        <f t="shared" si="0"/>
        <v>N/A</v>
      </c>
      <c r="G8" s="10" t="e">
        <f t="shared" ref="G8:G52" si="2">F8*D8</f>
        <v>#VALUE!</v>
      </c>
      <c r="I8" s="36">
        <v>84</v>
      </c>
      <c r="J8" s="35" t="s">
        <v>85</v>
      </c>
    </row>
    <row r="9" spans="2:10" x14ac:dyDescent="0.3">
      <c r="B9" s="2" t="b">
        <f>'BS Mechanical Engineering'!E7</f>
        <v>0</v>
      </c>
      <c r="C9" s="10" t="str">
        <f>'BS Mechanical Engineering'!F7</f>
        <v>IP</v>
      </c>
      <c r="D9" s="23">
        <f>'BS Mechanical Engineering'!G7</f>
        <v>4</v>
      </c>
      <c r="E9" s="10" t="b">
        <f t="shared" si="1"/>
        <v>1</v>
      </c>
      <c r="F9" s="23" t="str">
        <f t="shared" si="0"/>
        <v>N/A</v>
      </c>
      <c r="G9" s="10" t="e">
        <f t="shared" si="2"/>
        <v>#VALUE!</v>
      </c>
    </row>
    <row r="10" spans="2:10" ht="15" thickBot="1" x14ac:dyDescent="0.35">
      <c r="B10" s="2" t="b">
        <f>'BS Mechanical Engineering'!E8</f>
        <v>0</v>
      </c>
      <c r="C10" s="10" t="str">
        <f>'BS Mechanical Engineering'!F8</f>
        <v>IP</v>
      </c>
      <c r="D10" s="23">
        <f>'BS Mechanical Engineering'!G8</f>
        <v>3</v>
      </c>
      <c r="E10" s="10" t="b">
        <f t="shared" si="1"/>
        <v>1</v>
      </c>
      <c r="F10" s="23" t="str">
        <f t="shared" si="0"/>
        <v>N/A</v>
      </c>
      <c r="G10" s="10" t="e">
        <f t="shared" si="2"/>
        <v>#VALUE!</v>
      </c>
    </row>
    <row r="11" spans="2:10" ht="15" thickBot="1" x14ac:dyDescent="0.35">
      <c r="B11" s="2" t="b">
        <f>'BS Mechanical Engineering'!E9</f>
        <v>0</v>
      </c>
      <c r="C11" s="10" t="str">
        <f>'BS Mechanical Engineering'!F9</f>
        <v>IP</v>
      </c>
      <c r="D11" s="23">
        <f>'BS Mechanical Engineering'!G9</f>
        <v>0</v>
      </c>
      <c r="E11" s="10" t="b">
        <f t="shared" si="1"/>
        <v>1</v>
      </c>
      <c r="F11" s="23" t="str">
        <f t="shared" si="0"/>
        <v>N/A</v>
      </c>
      <c r="G11" s="10" t="e">
        <f t="shared" si="2"/>
        <v>#VALUE!</v>
      </c>
      <c r="I11" s="65" t="s">
        <v>88</v>
      </c>
      <c r="J11" s="67"/>
    </row>
    <row r="12" spans="2:10" x14ac:dyDescent="0.3">
      <c r="B12" s="2" t="b">
        <f>'BS Mechanical Engineering'!E10</f>
        <v>0</v>
      </c>
      <c r="C12" s="10" t="str">
        <f>'BS Mechanical Engineering'!F10</f>
        <v xml:space="preserve"> </v>
      </c>
      <c r="D12" s="23">
        <f>'BS Mechanical Engineering'!G10</f>
        <v>3</v>
      </c>
      <c r="E12" s="10" t="b">
        <f t="shared" si="1"/>
        <v>1</v>
      </c>
      <c r="F12" s="23" t="str">
        <f t="shared" si="0"/>
        <v>N/A</v>
      </c>
      <c r="G12" s="10" t="e">
        <f t="shared" si="2"/>
        <v>#VALUE!</v>
      </c>
      <c r="I12" s="51" t="str">
        <f>"A"</f>
        <v>A</v>
      </c>
      <c r="J12" s="38">
        <v>4</v>
      </c>
    </row>
    <row r="13" spans="2:10" x14ac:dyDescent="0.3">
      <c r="B13" s="2" t="b">
        <f>'BS Mechanical Engineering'!E11</f>
        <v>0</v>
      </c>
      <c r="C13" s="10" t="str">
        <f>'BS Mechanical Engineering'!F11</f>
        <v>IP</v>
      </c>
      <c r="D13" s="23">
        <f>'BS Mechanical Engineering'!G11</f>
        <v>4</v>
      </c>
      <c r="E13" s="10" t="b">
        <f t="shared" si="1"/>
        <v>1</v>
      </c>
      <c r="F13" s="23" t="str">
        <f t="shared" si="0"/>
        <v>N/A</v>
      </c>
      <c r="G13" s="10" t="e">
        <f t="shared" si="2"/>
        <v>#VALUE!</v>
      </c>
      <c r="I13" s="51" t="str">
        <f>"A-"</f>
        <v>A-</v>
      </c>
      <c r="J13" s="38">
        <v>3.75</v>
      </c>
    </row>
    <row r="14" spans="2:10" x14ac:dyDescent="0.3">
      <c r="B14" s="2" t="b">
        <f>'BS Mechanical Engineering'!E12</f>
        <v>0</v>
      </c>
      <c r="C14" s="10" t="str">
        <f>'BS Mechanical Engineering'!F12</f>
        <v xml:space="preserve"> </v>
      </c>
      <c r="D14" s="23">
        <f>'BS Mechanical Engineering'!G12</f>
        <v>4</v>
      </c>
      <c r="E14" s="10" t="b">
        <f t="shared" si="1"/>
        <v>1</v>
      </c>
      <c r="F14" s="23" t="str">
        <f t="shared" si="0"/>
        <v>N/A</v>
      </c>
      <c r="G14" s="10" t="e">
        <f t="shared" si="2"/>
        <v>#VALUE!</v>
      </c>
      <c r="I14" s="51" t="str">
        <f>"A+"</f>
        <v>A+</v>
      </c>
      <c r="J14" s="38">
        <v>4</v>
      </c>
    </row>
    <row r="15" spans="2:10" x14ac:dyDescent="0.3">
      <c r="B15" s="2" t="b">
        <f>'BS Mechanical Engineering'!E13</f>
        <v>0</v>
      </c>
      <c r="C15" s="10" t="str">
        <f>'BS Mechanical Engineering'!F13</f>
        <v xml:space="preserve"> </v>
      </c>
      <c r="D15" s="23">
        <f>'BS Mechanical Engineering'!G13</f>
        <v>3</v>
      </c>
      <c r="E15" s="10" t="b">
        <f t="shared" si="1"/>
        <v>1</v>
      </c>
      <c r="F15" s="23" t="str">
        <f t="shared" si="0"/>
        <v>N/A</v>
      </c>
      <c r="G15" s="10" t="e">
        <f t="shared" si="2"/>
        <v>#VALUE!</v>
      </c>
      <c r="I15" s="51" t="str">
        <f>"B"</f>
        <v>B</v>
      </c>
      <c r="J15" s="38">
        <v>3</v>
      </c>
    </row>
    <row r="16" spans="2:10" x14ac:dyDescent="0.3">
      <c r="B16" s="2" t="b">
        <f>'BS Mechanical Engineering'!E14</f>
        <v>0</v>
      </c>
      <c r="C16" s="10" t="str">
        <f>'BS Mechanical Engineering'!F14</f>
        <v xml:space="preserve"> </v>
      </c>
      <c r="D16" s="23">
        <f>'BS Mechanical Engineering'!G14</f>
        <v>0</v>
      </c>
      <c r="E16" s="10" t="b">
        <f t="shared" si="1"/>
        <v>1</v>
      </c>
      <c r="F16" s="23" t="str">
        <f t="shared" si="0"/>
        <v>N/A</v>
      </c>
      <c r="G16" s="10" t="e">
        <f t="shared" si="2"/>
        <v>#VALUE!</v>
      </c>
      <c r="I16" s="51" t="str">
        <f>"B-"</f>
        <v>B-</v>
      </c>
      <c r="J16" s="38">
        <v>2.75</v>
      </c>
    </row>
    <row r="17" spans="2:10" x14ac:dyDescent="0.3">
      <c r="B17" s="2" t="b">
        <f>'BS Mechanical Engineering'!E15</f>
        <v>0</v>
      </c>
      <c r="C17" s="10" t="str">
        <f>'BS Mechanical Engineering'!F15</f>
        <v xml:space="preserve"> </v>
      </c>
      <c r="D17" s="23">
        <f>'BS Mechanical Engineering'!G15</f>
        <v>4</v>
      </c>
      <c r="E17" s="10" t="b">
        <f t="shared" si="1"/>
        <v>1</v>
      </c>
      <c r="F17" s="23" t="str">
        <f t="shared" si="0"/>
        <v>N/A</v>
      </c>
      <c r="G17" s="10" t="e">
        <f t="shared" si="2"/>
        <v>#VALUE!</v>
      </c>
      <c r="I17" s="51" t="str">
        <f>"B+"</f>
        <v>B+</v>
      </c>
      <c r="J17" s="38">
        <v>3.25</v>
      </c>
    </row>
    <row r="18" spans="2:10" x14ac:dyDescent="0.3">
      <c r="B18" s="2" t="b">
        <f>'BS Mechanical Engineering'!E16</f>
        <v>0</v>
      </c>
      <c r="C18" s="10" t="str">
        <f>'BS Mechanical Engineering'!F16</f>
        <v xml:space="preserve"> </v>
      </c>
      <c r="D18" s="23">
        <f>'BS Mechanical Engineering'!G16</f>
        <v>3</v>
      </c>
      <c r="E18" s="10" t="b">
        <f t="shared" si="1"/>
        <v>1</v>
      </c>
      <c r="F18" s="23" t="str">
        <f t="shared" si="0"/>
        <v>N/A</v>
      </c>
      <c r="G18" s="10" t="e">
        <f t="shared" si="2"/>
        <v>#VALUE!</v>
      </c>
      <c r="I18" s="51" t="str">
        <f>"C"</f>
        <v>C</v>
      </c>
      <c r="J18" s="38">
        <v>2</v>
      </c>
    </row>
    <row r="19" spans="2:10" x14ac:dyDescent="0.3">
      <c r="B19" s="2" t="b">
        <f>'BS Mechanical Engineering'!E17</f>
        <v>0</v>
      </c>
      <c r="C19" s="10" t="str">
        <f>'BS Mechanical Engineering'!F17</f>
        <v xml:space="preserve"> </v>
      </c>
      <c r="D19" s="23">
        <f>'BS Mechanical Engineering'!G17</f>
        <v>3</v>
      </c>
      <c r="E19" s="10" t="b">
        <f t="shared" si="1"/>
        <v>1</v>
      </c>
      <c r="F19" s="23" t="str">
        <f t="shared" si="0"/>
        <v>N/A</v>
      </c>
      <c r="G19" s="10" t="e">
        <f t="shared" si="2"/>
        <v>#VALUE!</v>
      </c>
      <c r="I19" s="51" t="str">
        <f>"C-"</f>
        <v>C-</v>
      </c>
      <c r="J19" s="38">
        <v>1.75</v>
      </c>
    </row>
    <row r="20" spans="2:10" x14ac:dyDescent="0.3">
      <c r="B20" s="2" t="b">
        <f>'BS Mechanical Engineering'!E18</f>
        <v>0</v>
      </c>
      <c r="C20" s="10" t="str">
        <f>'BS Mechanical Engineering'!F18</f>
        <v xml:space="preserve"> </v>
      </c>
      <c r="D20" s="23">
        <f>'BS Mechanical Engineering'!G18</f>
        <v>3</v>
      </c>
      <c r="E20" s="10" t="b">
        <f t="shared" si="1"/>
        <v>1</v>
      </c>
      <c r="F20" s="23" t="str">
        <f t="shared" si="0"/>
        <v>N/A</v>
      </c>
      <c r="G20" s="10" t="e">
        <f t="shared" si="2"/>
        <v>#VALUE!</v>
      </c>
      <c r="I20" s="51" t="str">
        <f>"C+"</f>
        <v>C+</v>
      </c>
      <c r="J20" s="38">
        <v>2.25</v>
      </c>
    </row>
    <row r="21" spans="2:10" x14ac:dyDescent="0.3">
      <c r="B21" s="2" t="b">
        <f>'BS Mechanical Engineering'!E19</f>
        <v>0</v>
      </c>
      <c r="C21" s="10" t="str">
        <f>'BS Mechanical Engineering'!F19</f>
        <v xml:space="preserve"> </v>
      </c>
      <c r="D21" s="23">
        <f>'BS Mechanical Engineering'!G19</f>
        <v>3</v>
      </c>
      <c r="E21" s="10" t="b">
        <f t="shared" si="1"/>
        <v>1</v>
      </c>
      <c r="F21" s="23" t="str">
        <f t="shared" si="0"/>
        <v>N/A</v>
      </c>
      <c r="G21" s="10" t="e">
        <f t="shared" si="2"/>
        <v>#VALUE!</v>
      </c>
      <c r="I21" s="51" t="str">
        <f>"D"</f>
        <v>D</v>
      </c>
      <c r="J21" s="38">
        <v>1</v>
      </c>
    </row>
    <row r="22" spans="2:10" x14ac:dyDescent="0.3">
      <c r="B22" s="2" t="b">
        <f>'BS Mechanical Engineering'!E20</f>
        <v>0</v>
      </c>
      <c r="C22" s="10" t="str">
        <f>'BS Mechanical Engineering'!F20</f>
        <v xml:space="preserve"> </v>
      </c>
      <c r="D22" s="23">
        <f>'BS Mechanical Engineering'!G20</f>
        <v>3</v>
      </c>
      <c r="E22" s="10" t="b">
        <f t="shared" si="1"/>
        <v>1</v>
      </c>
      <c r="F22" s="23" t="str">
        <f t="shared" si="0"/>
        <v>N/A</v>
      </c>
      <c r="G22" s="10" t="e">
        <f t="shared" si="2"/>
        <v>#VALUE!</v>
      </c>
      <c r="I22" s="51" t="str">
        <f>"D-"</f>
        <v>D-</v>
      </c>
      <c r="J22" s="38">
        <v>0.75</v>
      </c>
    </row>
    <row r="23" spans="2:10" x14ac:dyDescent="0.3">
      <c r="B23" s="2" t="b">
        <f>'BS Mechanical Engineering'!E21</f>
        <v>0</v>
      </c>
      <c r="C23" s="10" t="str">
        <f>'BS Mechanical Engineering'!F21</f>
        <v xml:space="preserve"> </v>
      </c>
      <c r="D23" s="23">
        <f>'BS Mechanical Engineering'!G21</f>
        <v>3</v>
      </c>
      <c r="E23" s="10" t="b">
        <f t="shared" si="1"/>
        <v>1</v>
      </c>
      <c r="F23" s="23" t="str">
        <f t="shared" si="0"/>
        <v>N/A</v>
      </c>
      <c r="G23" s="10" t="e">
        <f t="shared" si="2"/>
        <v>#VALUE!</v>
      </c>
      <c r="I23" s="51" t="str">
        <f>"D+"</f>
        <v>D+</v>
      </c>
      <c r="J23" s="38">
        <v>1.25</v>
      </c>
    </row>
    <row r="24" spans="2:10" ht="15" thickBot="1" x14ac:dyDescent="0.35">
      <c r="B24" s="2" t="b">
        <f>'BS Mechanical Engineering'!E22</f>
        <v>0</v>
      </c>
      <c r="C24" s="10" t="str">
        <f>'BS Mechanical Engineering'!F22</f>
        <v xml:space="preserve"> </v>
      </c>
      <c r="D24" s="23">
        <f>'BS Mechanical Engineering'!G22</f>
        <v>3</v>
      </c>
      <c r="E24" s="10" t="b">
        <f t="shared" si="1"/>
        <v>1</v>
      </c>
      <c r="F24" s="23" t="str">
        <f t="shared" si="0"/>
        <v>N/A</v>
      </c>
      <c r="G24" s="10" t="e">
        <f t="shared" si="2"/>
        <v>#VALUE!</v>
      </c>
      <c r="I24" s="36" t="str">
        <f>"F"</f>
        <v>F</v>
      </c>
      <c r="J24" s="35">
        <v>0</v>
      </c>
    </row>
    <row r="25" spans="2:10" x14ac:dyDescent="0.3">
      <c r="B25" s="2" t="b">
        <f>'BS Mechanical Engineering'!E23</f>
        <v>0</v>
      </c>
      <c r="C25" s="10" t="str">
        <f>'BS Mechanical Engineering'!F23</f>
        <v xml:space="preserve"> </v>
      </c>
      <c r="D25" s="23">
        <f>'BS Mechanical Engineering'!G23</f>
        <v>3</v>
      </c>
      <c r="E25" s="10" t="b">
        <f t="shared" si="1"/>
        <v>1</v>
      </c>
      <c r="F25" s="23" t="str">
        <f t="shared" si="0"/>
        <v>N/A</v>
      </c>
      <c r="G25" s="10" t="e">
        <f t="shared" si="2"/>
        <v>#VALUE!</v>
      </c>
    </row>
    <row r="26" spans="2:10" x14ac:dyDescent="0.3">
      <c r="B26" s="2" t="b">
        <f>'BS Mechanical Engineering'!E24</f>
        <v>0</v>
      </c>
      <c r="C26" s="10" t="str">
        <f>'BS Mechanical Engineering'!F24</f>
        <v xml:space="preserve"> </v>
      </c>
      <c r="D26" s="23">
        <f>'BS Mechanical Engineering'!G24</f>
        <v>3</v>
      </c>
      <c r="E26" s="10" t="b">
        <f t="shared" si="1"/>
        <v>1</v>
      </c>
      <c r="F26" s="23" t="str">
        <f t="shared" si="0"/>
        <v>N/A</v>
      </c>
      <c r="G26" s="10" t="e">
        <f t="shared" si="2"/>
        <v>#VALUE!</v>
      </c>
    </row>
    <row r="27" spans="2:10" x14ac:dyDescent="0.3">
      <c r="B27" s="2" t="b">
        <f>'BS Mechanical Engineering'!E25</f>
        <v>0</v>
      </c>
      <c r="C27" s="10" t="str">
        <f>'BS Mechanical Engineering'!F25</f>
        <v xml:space="preserve"> </v>
      </c>
      <c r="D27" s="23">
        <f>'BS Mechanical Engineering'!G25</f>
        <v>3</v>
      </c>
      <c r="E27" s="10" t="b">
        <f t="shared" si="1"/>
        <v>1</v>
      </c>
      <c r="F27" s="23" t="str">
        <f t="shared" si="0"/>
        <v>N/A</v>
      </c>
      <c r="G27" s="10" t="e">
        <f t="shared" si="2"/>
        <v>#VALUE!</v>
      </c>
    </row>
    <row r="28" spans="2:10" x14ac:dyDescent="0.3">
      <c r="B28" s="2" t="b">
        <f>'BS Mechanical Engineering'!E26</f>
        <v>0</v>
      </c>
      <c r="C28" s="10" t="str">
        <f>'BS Mechanical Engineering'!F26</f>
        <v xml:space="preserve"> </v>
      </c>
      <c r="D28" s="23">
        <f>'BS Mechanical Engineering'!G26</f>
        <v>3</v>
      </c>
      <c r="E28" s="10" t="b">
        <f t="shared" si="1"/>
        <v>1</v>
      </c>
      <c r="F28" s="23" t="str">
        <f t="shared" si="0"/>
        <v>N/A</v>
      </c>
      <c r="G28" s="10" t="e">
        <f t="shared" si="2"/>
        <v>#VALUE!</v>
      </c>
    </row>
    <row r="29" spans="2:10" x14ac:dyDescent="0.3">
      <c r="B29" s="2" t="b">
        <f>'BS Mechanical Engineering'!E27</f>
        <v>0</v>
      </c>
      <c r="C29" s="10" t="str">
        <f>'BS Mechanical Engineering'!F27</f>
        <v xml:space="preserve"> </v>
      </c>
      <c r="D29" s="23">
        <f>'BS Mechanical Engineering'!G27</f>
        <v>3</v>
      </c>
      <c r="E29" s="10" t="b">
        <f t="shared" si="1"/>
        <v>1</v>
      </c>
      <c r="F29" s="23" t="str">
        <f t="shared" si="0"/>
        <v>N/A</v>
      </c>
      <c r="G29" s="10" t="e">
        <f t="shared" si="2"/>
        <v>#VALUE!</v>
      </c>
    </row>
    <row r="30" spans="2:10" x14ac:dyDescent="0.3">
      <c r="B30" s="2" t="b">
        <f>'BS Mechanical Engineering'!E28</f>
        <v>0</v>
      </c>
      <c r="C30" s="10" t="str">
        <f>'BS Mechanical Engineering'!F28</f>
        <v xml:space="preserve"> </v>
      </c>
      <c r="D30" s="23">
        <f>'BS Mechanical Engineering'!G28</f>
        <v>3</v>
      </c>
      <c r="E30" s="10" t="b">
        <f t="shared" si="1"/>
        <v>1</v>
      </c>
      <c r="F30" s="23" t="str">
        <f t="shared" si="0"/>
        <v>N/A</v>
      </c>
      <c r="G30" s="10" t="e">
        <f t="shared" si="2"/>
        <v>#VALUE!</v>
      </c>
    </row>
    <row r="31" spans="2:10" x14ac:dyDescent="0.3">
      <c r="B31" s="2" t="b">
        <f>'BS Mechanical Engineering'!E29</f>
        <v>0</v>
      </c>
      <c r="C31" s="10" t="str">
        <f>'BS Mechanical Engineering'!F29</f>
        <v xml:space="preserve"> </v>
      </c>
      <c r="D31" s="23">
        <f>'BS Mechanical Engineering'!G29</f>
        <v>3</v>
      </c>
      <c r="E31" s="10" t="b">
        <f t="shared" si="1"/>
        <v>1</v>
      </c>
      <c r="F31" s="23" t="str">
        <f t="shared" si="0"/>
        <v>N/A</v>
      </c>
      <c r="G31" s="10" t="e">
        <f t="shared" si="2"/>
        <v>#VALUE!</v>
      </c>
    </row>
    <row r="32" spans="2:10" x14ac:dyDescent="0.3">
      <c r="B32" s="2" t="b">
        <f>'BS Mechanical Engineering'!E30</f>
        <v>0</v>
      </c>
      <c r="C32" s="10" t="str">
        <f>'BS Mechanical Engineering'!F30</f>
        <v xml:space="preserve"> </v>
      </c>
      <c r="D32" s="23">
        <f>'BS Mechanical Engineering'!G30</f>
        <v>3</v>
      </c>
      <c r="E32" s="10" t="b">
        <f t="shared" si="1"/>
        <v>1</v>
      </c>
      <c r="F32" s="23" t="str">
        <f t="shared" si="0"/>
        <v>N/A</v>
      </c>
      <c r="G32" s="10" t="e">
        <f t="shared" si="2"/>
        <v>#VALUE!</v>
      </c>
    </row>
    <row r="33" spans="2:7" x14ac:dyDescent="0.3">
      <c r="B33" s="2" t="b">
        <f>'BS Mechanical Engineering'!E31</f>
        <v>0</v>
      </c>
      <c r="C33" s="10" t="str">
        <f>'BS Mechanical Engineering'!F31</f>
        <v xml:space="preserve"> </v>
      </c>
      <c r="D33" s="23">
        <f>'BS Mechanical Engineering'!G31</f>
        <v>3</v>
      </c>
      <c r="E33" s="10" t="b">
        <f t="shared" si="1"/>
        <v>1</v>
      </c>
      <c r="F33" s="23" t="str">
        <f t="shared" si="0"/>
        <v>N/A</v>
      </c>
      <c r="G33" s="10" t="e">
        <f t="shared" si="2"/>
        <v>#VALUE!</v>
      </c>
    </row>
    <row r="34" spans="2:7" x14ac:dyDescent="0.3">
      <c r="B34" s="2" t="b">
        <f>'BS Mechanical Engineering'!E32</f>
        <v>0</v>
      </c>
      <c r="C34" s="10" t="str">
        <f>'BS Mechanical Engineering'!F32</f>
        <v xml:space="preserve"> </v>
      </c>
      <c r="D34" s="23">
        <f>'BS Mechanical Engineering'!G32</f>
        <v>3</v>
      </c>
      <c r="E34" s="10" t="b">
        <f t="shared" si="1"/>
        <v>1</v>
      </c>
      <c r="F34" s="23" t="str">
        <f t="shared" si="0"/>
        <v>N/A</v>
      </c>
      <c r="G34" s="10" t="e">
        <f t="shared" si="2"/>
        <v>#VALUE!</v>
      </c>
    </row>
    <row r="35" spans="2:7" x14ac:dyDescent="0.3">
      <c r="B35" s="2" t="b">
        <f>'BS Mechanical Engineering'!E33</f>
        <v>0</v>
      </c>
      <c r="C35" s="10" t="str">
        <f>'BS Mechanical Engineering'!F33</f>
        <v xml:space="preserve"> </v>
      </c>
      <c r="D35" s="23">
        <f>'BS Mechanical Engineering'!G33</f>
        <v>3</v>
      </c>
      <c r="E35" s="10" t="b">
        <f t="shared" si="1"/>
        <v>1</v>
      </c>
      <c r="F35" s="23" t="str">
        <f t="shared" si="0"/>
        <v>N/A</v>
      </c>
      <c r="G35" s="10" t="e">
        <f t="shared" si="2"/>
        <v>#VALUE!</v>
      </c>
    </row>
    <row r="36" spans="2:7" x14ac:dyDescent="0.3">
      <c r="B36" s="2" t="b">
        <f>'BS Mechanical Engineering'!E37</f>
        <v>0</v>
      </c>
      <c r="C36" s="10" t="str">
        <f>'BS Mechanical Engineering'!F37</f>
        <v xml:space="preserve"> </v>
      </c>
      <c r="D36" s="23">
        <f>'BS Mechanical Engineering'!G37</f>
        <v>3</v>
      </c>
      <c r="E36" s="10" t="b">
        <f t="shared" si="1"/>
        <v>1</v>
      </c>
      <c r="F36" s="23" t="str">
        <f t="shared" si="0"/>
        <v>N/A</v>
      </c>
      <c r="G36" s="10" t="e">
        <f t="shared" si="2"/>
        <v>#VALUE!</v>
      </c>
    </row>
    <row r="37" spans="2:7" x14ac:dyDescent="0.3">
      <c r="B37" s="2" t="b">
        <f>'BS Mechanical Engineering'!E38</f>
        <v>0</v>
      </c>
      <c r="C37" s="10" t="str">
        <f>'BS Mechanical Engineering'!F38</f>
        <v xml:space="preserve"> </v>
      </c>
      <c r="D37" s="23">
        <f>'BS Mechanical Engineering'!G38</f>
        <v>3</v>
      </c>
      <c r="E37" s="10" t="b">
        <f t="shared" si="1"/>
        <v>1</v>
      </c>
      <c r="F37" s="23" t="str">
        <f t="shared" si="0"/>
        <v>N/A</v>
      </c>
      <c r="G37" s="10" t="e">
        <f t="shared" si="2"/>
        <v>#VALUE!</v>
      </c>
    </row>
    <row r="38" spans="2:7" x14ac:dyDescent="0.3">
      <c r="B38" s="2" t="b">
        <f>'BS Mechanical Engineering'!E39</f>
        <v>0</v>
      </c>
      <c r="C38" s="10" t="str">
        <f>'BS Mechanical Engineering'!F39</f>
        <v xml:space="preserve"> </v>
      </c>
      <c r="D38" s="23">
        <f>'BS Mechanical Engineering'!G39</f>
        <v>3</v>
      </c>
      <c r="E38" s="10" t="b">
        <f t="shared" si="1"/>
        <v>1</v>
      </c>
      <c r="F38" s="23" t="str">
        <f t="shared" si="0"/>
        <v>N/A</v>
      </c>
      <c r="G38" s="10" t="e">
        <f t="shared" si="2"/>
        <v>#VALUE!</v>
      </c>
    </row>
    <row r="39" spans="2:7" x14ac:dyDescent="0.3">
      <c r="B39" s="2" t="b">
        <f>'BS Mechanical Engineering'!E40</f>
        <v>0</v>
      </c>
      <c r="C39" s="10" t="str">
        <f>'BS Mechanical Engineering'!F40</f>
        <v xml:space="preserve"> </v>
      </c>
      <c r="D39" s="23">
        <f>'BS Mechanical Engineering'!G40</f>
        <v>3</v>
      </c>
      <c r="E39" s="10" t="b">
        <f t="shared" si="1"/>
        <v>1</v>
      </c>
      <c r="F39" s="23" t="str">
        <f t="shared" si="0"/>
        <v>N/A</v>
      </c>
      <c r="G39" s="10" t="e">
        <f t="shared" si="2"/>
        <v>#VALUE!</v>
      </c>
    </row>
    <row r="40" spans="2:7" x14ac:dyDescent="0.3">
      <c r="B40" s="2" t="b">
        <f>'BS Mechanical Engineering'!E41</f>
        <v>0</v>
      </c>
      <c r="C40" s="10" t="str">
        <f>'BS Mechanical Engineering'!F41</f>
        <v xml:space="preserve"> </v>
      </c>
      <c r="D40" s="23">
        <f>'BS Mechanical Engineering'!G41</f>
        <v>3</v>
      </c>
      <c r="E40" s="10" t="b">
        <f t="shared" si="1"/>
        <v>1</v>
      </c>
      <c r="F40" s="23" t="str">
        <f t="shared" si="0"/>
        <v>N/A</v>
      </c>
      <c r="G40" s="10" t="e">
        <f t="shared" si="2"/>
        <v>#VALUE!</v>
      </c>
    </row>
    <row r="41" spans="2:7" x14ac:dyDescent="0.3">
      <c r="B41" s="2" t="b">
        <f>'BS Mechanical Engineering'!E42</f>
        <v>0</v>
      </c>
      <c r="C41" s="10" t="str">
        <f>'BS Mechanical Engineering'!F42</f>
        <v xml:space="preserve"> </v>
      </c>
      <c r="D41" s="23">
        <f>'BS Mechanical Engineering'!G42</f>
        <v>3</v>
      </c>
      <c r="E41" s="10" t="b">
        <f t="shared" si="1"/>
        <v>1</v>
      </c>
      <c r="F41" s="23" t="str">
        <f t="shared" si="0"/>
        <v>N/A</v>
      </c>
      <c r="G41" s="10" t="e">
        <f t="shared" si="2"/>
        <v>#VALUE!</v>
      </c>
    </row>
    <row r="42" spans="2:7" x14ac:dyDescent="0.3">
      <c r="B42" s="2" t="b">
        <f>'BS Mechanical Engineering'!L5</f>
        <v>0</v>
      </c>
      <c r="C42" s="10" t="str">
        <f>'BS Mechanical Engineering'!M5</f>
        <v>IP</v>
      </c>
      <c r="D42" s="23">
        <f>'BS Mechanical Engineering'!N5</f>
        <v>3</v>
      </c>
      <c r="E42" s="10" t="b">
        <f t="shared" si="1"/>
        <v>1</v>
      </c>
      <c r="F42" s="23" t="str">
        <f t="shared" si="0"/>
        <v>N/A</v>
      </c>
      <c r="G42" s="10" t="e">
        <f t="shared" si="2"/>
        <v>#VALUE!</v>
      </c>
    </row>
    <row r="43" spans="2:7" x14ac:dyDescent="0.3">
      <c r="B43" s="2" t="b">
        <f>'BS Mechanical Engineering'!L6</f>
        <v>0</v>
      </c>
      <c r="C43" s="10" t="str">
        <f>'BS Mechanical Engineering'!M6</f>
        <v xml:space="preserve"> </v>
      </c>
      <c r="D43" s="23">
        <f>'BS Mechanical Engineering'!N6</f>
        <v>3</v>
      </c>
      <c r="E43" s="10" t="b">
        <f t="shared" si="1"/>
        <v>1</v>
      </c>
      <c r="F43" s="23" t="str">
        <f t="shared" si="0"/>
        <v>N/A</v>
      </c>
      <c r="G43" s="10" t="e">
        <f t="shared" si="2"/>
        <v>#VALUE!</v>
      </c>
    </row>
    <row r="44" spans="2:7" x14ac:dyDescent="0.3">
      <c r="B44" s="2" t="b">
        <f>'BS Mechanical Engineering'!L7</f>
        <v>0</v>
      </c>
      <c r="C44" s="10" t="str">
        <f>'BS Mechanical Engineering'!M7</f>
        <v xml:space="preserve"> </v>
      </c>
      <c r="D44" s="23">
        <f>'BS Mechanical Engineering'!N7</f>
        <v>3</v>
      </c>
      <c r="E44" s="10" t="b">
        <f t="shared" si="1"/>
        <v>1</v>
      </c>
      <c r="F44" s="23" t="str">
        <f t="shared" si="0"/>
        <v>N/A</v>
      </c>
      <c r="G44" s="10" t="e">
        <f t="shared" si="2"/>
        <v>#VALUE!</v>
      </c>
    </row>
    <row r="45" spans="2:7" x14ac:dyDescent="0.3">
      <c r="B45" s="2" t="b">
        <f>'BS Mechanical Engineering'!L8</f>
        <v>0</v>
      </c>
      <c r="C45" s="10" t="str">
        <f>'BS Mechanical Engineering'!M8</f>
        <v xml:space="preserve"> </v>
      </c>
      <c r="D45" s="23">
        <f>'BS Mechanical Engineering'!N8</f>
        <v>3</v>
      </c>
      <c r="E45" s="10" t="b">
        <f t="shared" si="1"/>
        <v>1</v>
      </c>
      <c r="F45" s="23" t="str">
        <f t="shared" si="0"/>
        <v>N/A</v>
      </c>
      <c r="G45" s="10" t="e">
        <f t="shared" si="2"/>
        <v>#VALUE!</v>
      </c>
    </row>
    <row r="46" spans="2:7" x14ac:dyDescent="0.3">
      <c r="B46" s="2" t="b">
        <f>'BS Mechanical Engineering'!L9</f>
        <v>0</v>
      </c>
      <c r="C46" s="10" t="str">
        <f>'BS Mechanical Engineering'!M9</f>
        <v xml:space="preserve"> </v>
      </c>
      <c r="D46" s="23">
        <f>'BS Mechanical Engineering'!N9</f>
        <v>3</v>
      </c>
      <c r="E46" s="10" t="b">
        <f t="shared" si="1"/>
        <v>1</v>
      </c>
      <c r="F46" s="23" t="str">
        <f t="shared" si="0"/>
        <v>N/A</v>
      </c>
      <c r="G46" s="10" t="e">
        <f t="shared" si="2"/>
        <v>#VALUE!</v>
      </c>
    </row>
    <row r="47" spans="2:7" x14ac:dyDescent="0.3">
      <c r="B47" s="2" t="b">
        <f>'BS Mechanical Engineering'!L10</f>
        <v>0</v>
      </c>
      <c r="C47" s="10" t="str">
        <f>'BS Mechanical Engineering'!M10</f>
        <v xml:space="preserve"> </v>
      </c>
      <c r="D47" s="23">
        <f>'BS Mechanical Engineering'!N10</f>
        <v>3</v>
      </c>
      <c r="E47" s="10" t="b">
        <f t="shared" si="1"/>
        <v>1</v>
      </c>
      <c r="F47" s="23" t="str">
        <f t="shared" si="0"/>
        <v>N/A</v>
      </c>
      <c r="G47" s="10" t="e">
        <f t="shared" si="2"/>
        <v>#VALUE!</v>
      </c>
    </row>
    <row r="48" spans="2:7" ht="15" thickBot="1" x14ac:dyDescent="0.35">
      <c r="B48" s="3" t="b">
        <f>'BS Mechanical Engineering'!L16</f>
        <v>0</v>
      </c>
      <c r="C48" s="12" t="str">
        <f>'BS Mechanical Engineering'!M16</f>
        <v xml:space="preserve"> </v>
      </c>
      <c r="D48" s="24">
        <f>'BS Mechanical Engineering'!N16</f>
        <v>3</v>
      </c>
      <c r="E48" s="12" t="b">
        <f t="shared" si="1"/>
        <v>1</v>
      </c>
      <c r="F48" s="24" t="str">
        <f t="shared" si="0"/>
        <v>N/A</v>
      </c>
      <c r="G48" s="12" t="e">
        <f t="shared" si="2"/>
        <v>#VALUE!</v>
      </c>
    </row>
  </sheetData>
  <sortState xmlns:xlrd2="http://schemas.microsoft.com/office/spreadsheetml/2017/richdata2" ref="I12:K24">
    <sortCondition ref="I24"/>
  </sortState>
  <mergeCells count="3">
    <mergeCell ref="I11:J11"/>
    <mergeCell ref="I3:J3"/>
    <mergeCell ref="B5:G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BS Mechanical Engineering</vt:lpstr>
      <vt:lpstr>GPA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brady</dc:creator>
  <cp:lastModifiedBy>Brady, Julian</cp:lastModifiedBy>
  <dcterms:created xsi:type="dcterms:W3CDTF">2015-06-05T18:17:20Z</dcterms:created>
  <dcterms:modified xsi:type="dcterms:W3CDTF">2026-04-14T14:05:52Z</dcterms:modified>
</cp:coreProperties>
</file>