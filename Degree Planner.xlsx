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jub177_pitt_edu/Documents/Coding Personal Work/Excel/Blank Degree Planner/"/>
    </mc:Choice>
  </mc:AlternateContent>
  <xr:revisionPtr revIDLastSave="1848" documentId="11_F25DC773A252ABDACC1048B1D1DB51A45BDE58EF" xr6:coauthVersionLast="47" xr6:coauthVersionMax="47" xr10:uidLastSave="{F531A655-3F22-4D67-86D1-0C354D648F6E}"/>
  <bookViews>
    <workbookView xWindow="-108" yWindow="-108" windowWidth="23256" windowHeight="14256" activeTab="3" xr2:uid="{00000000-000D-0000-FFFF-FFFF00000000}"/>
  </bookViews>
  <sheets>
    <sheet name="Overview" sheetId="3" r:id="rId1"/>
    <sheet name="Major" sheetId="1" r:id="rId2"/>
    <sheet name="Minor" sheetId="2" r:id="rId3"/>
    <sheet name="GPA Calculations" sheetId="6" r:id="rId4"/>
  </sheets>
  <definedNames>
    <definedName name="_xlnm._FilterDatabase" localSheetId="3" hidden="1">'GPA Calculations'!$J$12:$J$24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1" i="1" a="1"/>
  <c r="M11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3" i="1" a="1"/>
  <c r="M3" i="1" s="1"/>
  <c r="F31" i="1" a="1"/>
  <c r="F31" i="1"/>
  <c r="F30" i="1" a="1"/>
  <c r="F30" i="1" s="1"/>
  <c r="F10" i="1" a="1"/>
  <c r="F10" i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/>
  <c r="F17" i="1" a="1"/>
  <c r="F17" i="1" s="1"/>
  <c r="F18" i="1" a="1"/>
  <c r="F18" i="1"/>
  <c r="F19" i="1" a="1"/>
  <c r="F19" i="1"/>
  <c r="F20" i="1" a="1"/>
  <c r="F20" i="1" s="1"/>
  <c r="F21" i="1" a="1"/>
  <c r="F21" i="1" s="1"/>
  <c r="F22" i="1" a="1"/>
  <c r="F22" i="1"/>
  <c r="F23" i="1" a="1"/>
  <c r="F23" i="1" s="1"/>
  <c r="F24" i="1" a="1"/>
  <c r="F24" i="1" s="1"/>
  <c r="F25" i="1" a="1"/>
  <c r="F25" i="1" s="1"/>
  <c r="F26" i="1" a="1"/>
  <c r="F26" i="1" s="1"/>
  <c r="F27" i="1" a="1"/>
  <c r="F27" i="1"/>
  <c r="F28" i="1" a="1"/>
  <c r="F28" i="1" s="1"/>
  <c r="F29" i="1" a="1"/>
  <c r="F29" i="1" s="1"/>
  <c r="F5" i="1" a="1"/>
  <c r="F5" i="1" s="1"/>
  <c r="F6" i="1" a="1"/>
  <c r="F6" i="1" s="1"/>
  <c r="F7" i="1" a="1"/>
  <c r="F7" i="1" s="1"/>
  <c r="F8" i="1" a="1"/>
  <c r="F8" i="1"/>
  <c r="F9" i="1" a="1"/>
  <c r="F9" i="1" s="1"/>
  <c r="F4" i="1" a="1"/>
  <c r="F4" i="1" s="1"/>
  <c r="F11" i="2" a="1"/>
  <c r="F11" i="2" s="1"/>
  <c r="F10" i="2" a="1"/>
  <c r="F10" i="2" s="1"/>
  <c r="F7" i="2" a="1"/>
  <c r="F7" i="2" s="1"/>
  <c r="F3" i="2" a="1"/>
  <c r="F3" i="2" s="1"/>
  <c r="F4" i="2" a="1"/>
  <c r="F4" i="2" s="1"/>
  <c r="D52" i="6" l="1"/>
  <c r="D51" i="6"/>
  <c r="D50" i="6"/>
  <c r="D49" i="6"/>
  <c r="D48" i="6"/>
  <c r="D47" i="6"/>
  <c r="D43" i="6"/>
  <c r="D44" i="6"/>
  <c r="D45" i="6"/>
  <c r="D46" i="6"/>
  <c r="D42" i="6"/>
  <c r="D41" i="6"/>
  <c r="D37" i="6"/>
  <c r="D38" i="6"/>
  <c r="D39" i="6"/>
  <c r="D40" i="6"/>
  <c r="D35" i="6"/>
  <c r="D34" i="6"/>
  <c r="D36" i="6"/>
  <c r="D31" i="6"/>
  <c r="D32" i="6"/>
  <c r="D33" i="6"/>
  <c r="D26" i="6"/>
  <c r="D27" i="6"/>
  <c r="D28" i="6"/>
  <c r="D29" i="6"/>
  <c r="D30" i="6"/>
  <c r="D22" i="6"/>
  <c r="D23" i="6"/>
  <c r="D24" i="6"/>
  <c r="D25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C7" i="6"/>
  <c r="I13" i="6"/>
  <c r="I17" i="6"/>
  <c r="I15" i="6"/>
  <c r="I16" i="6"/>
  <c r="I20" i="6"/>
  <c r="I18" i="6"/>
  <c r="I19" i="6"/>
  <c r="I23" i="6"/>
  <c r="I21" i="6"/>
  <c r="I14" i="6"/>
  <c r="I12" i="6"/>
  <c r="I22" i="6"/>
  <c r="I24" i="6"/>
  <c r="C8" i="6"/>
  <c r="C50" i="6" l="1"/>
  <c r="C49" i="6"/>
  <c r="C51" i="6"/>
  <c r="C52" i="6"/>
  <c r="C14" i="6"/>
  <c r="C48" i="6"/>
  <c r="B49" i="6"/>
  <c r="B50" i="6"/>
  <c r="B51" i="6"/>
  <c r="B52" i="6"/>
  <c r="B48" i="6"/>
  <c r="C9" i="6"/>
  <c r="C10" i="6"/>
  <c r="C11" i="6"/>
  <c r="C12" i="6"/>
  <c r="C16" i="6"/>
  <c r="C43" i="6"/>
  <c r="C44" i="6"/>
  <c r="B43" i="6"/>
  <c r="B44" i="6"/>
  <c r="B45" i="6"/>
  <c r="B46" i="6"/>
  <c r="B47" i="6"/>
  <c r="B42" i="6"/>
  <c r="B41" i="6"/>
  <c r="B40" i="6"/>
  <c r="B37" i="6"/>
  <c r="B38" i="6"/>
  <c r="B39" i="6"/>
  <c r="B36" i="6"/>
  <c r="B35" i="6"/>
  <c r="B31" i="6"/>
  <c r="B32" i="6"/>
  <c r="B33" i="6"/>
  <c r="B34" i="6"/>
  <c r="B8" i="6"/>
  <c r="E8" i="6" s="1"/>
  <c r="F8" i="6" s="1"/>
  <c r="G8" i="6" s="1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7" i="6"/>
  <c r="E7" i="6" s="1"/>
  <c r="E12" i="6" l="1"/>
  <c r="F12" i="6" s="1"/>
  <c r="G12" i="6" s="1"/>
  <c r="E16" i="6"/>
  <c r="F16" i="6" s="1"/>
  <c r="G16" i="6" s="1"/>
  <c r="E14" i="6"/>
  <c r="F14" i="6" s="1"/>
  <c r="G14" i="6" s="1"/>
  <c r="F7" i="6"/>
  <c r="G7" i="6" s="1"/>
  <c r="E10" i="6"/>
  <c r="F10" i="6" s="1"/>
  <c r="G10" i="6" s="1"/>
  <c r="E51" i="6"/>
  <c r="F51" i="6" s="1"/>
  <c r="G51" i="6" s="1"/>
  <c r="E52" i="6"/>
  <c r="F52" i="6" s="1"/>
  <c r="G52" i="6" s="1"/>
  <c r="E49" i="6"/>
  <c r="F49" i="6" s="1"/>
  <c r="G49" i="6" s="1"/>
  <c r="E11" i="6"/>
  <c r="F11" i="6" s="1"/>
  <c r="G11" i="6" s="1"/>
  <c r="E9" i="6"/>
  <c r="F9" i="6" s="1"/>
  <c r="E44" i="6"/>
  <c r="F44" i="6" s="1"/>
  <c r="G44" i="6" s="1"/>
  <c r="E48" i="6"/>
  <c r="F48" i="6" s="1"/>
  <c r="G48" i="6" s="1"/>
  <c r="E43" i="6"/>
  <c r="F43" i="6" s="1"/>
  <c r="G43" i="6" s="1"/>
  <c r="E50" i="6"/>
  <c r="F50" i="6" s="1"/>
  <c r="G50" i="6" s="1"/>
  <c r="C15" i="6"/>
  <c r="E15" i="6" s="1"/>
  <c r="F15" i="6" s="1"/>
  <c r="G15" i="6" s="1"/>
  <c r="C17" i="6"/>
  <c r="E17" i="6" s="1"/>
  <c r="F17" i="6" s="1"/>
  <c r="G17" i="6" s="1"/>
  <c r="C18" i="6"/>
  <c r="E18" i="6" s="1"/>
  <c r="F18" i="6" s="1"/>
  <c r="G18" i="6" s="1"/>
  <c r="C19" i="6"/>
  <c r="E19" i="6" s="1"/>
  <c r="F19" i="6" s="1"/>
  <c r="G19" i="6" s="1"/>
  <c r="C20" i="6"/>
  <c r="E20" i="6" s="1"/>
  <c r="F20" i="6" s="1"/>
  <c r="G20" i="6" s="1"/>
  <c r="C21" i="6"/>
  <c r="E21" i="6" s="1"/>
  <c r="F21" i="6" s="1"/>
  <c r="G21" i="6" s="1"/>
  <c r="C22" i="6"/>
  <c r="E22" i="6" s="1"/>
  <c r="F22" i="6" s="1"/>
  <c r="G22" i="6" s="1"/>
  <c r="C23" i="6"/>
  <c r="E23" i="6" s="1"/>
  <c r="F23" i="6" s="1"/>
  <c r="G23" i="6" s="1"/>
  <c r="C24" i="6"/>
  <c r="E24" i="6" s="1"/>
  <c r="F24" i="6" s="1"/>
  <c r="G24" i="6" s="1"/>
  <c r="C25" i="6"/>
  <c r="E25" i="6" s="1"/>
  <c r="F25" i="6" s="1"/>
  <c r="G25" i="6" s="1"/>
  <c r="C26" i="6"/>
  <c r="E26" i="6" s="1"/>
  <c r="F26" i="6" s="1"/>
  <c r="G26" i="6" s="1"/>
  <c r="C27" i="6"/>
  <c r="E27" i="6" s="1"/>
  <c r="F27" i="6" s="1"/>
  <c r="G27" i="6" s="1"/>
  <c r="C28" i="6"/>
  <c r="E28" i="6" s="1"/>
  <c r="F28" i="6" s="1"/>
  <c r="G28" i="6" s="1"/>
  <c r="C29" i="6"/>
  <c r="E29" i="6" s="1"/>
  <c r="F29" i="6" s="1"/>
  <c r="G29" i="6" s="1"/>
  <c r="C30" i="6"/>
  <c r="E30" i="6" s="1"/>
  <c r="F30" i="6" s="1"/>
  <c r="G30" i="6" s="1"/>
  <c r="C31" i="6"/>
  <c r="E31" i="6" s="1"/>
  <c r="F31" i="6" s="1"/>
  <c r="G31" i="6" s="1"/>
  <c r="C32" i="6"/>
  <c r="E32" i="6" s="1"/>
  <c r="F32" i="6" s="1"/>
  <c r="G32" i="6" s="1"/>
  <c r="C33" i="6"/>
  <c r="E33" i="6" s="1"/>
  <c r="F33" i="6" s="1"/>
  <c r="G33" i="6" s="1"/>
  <c r="C34" i="6"/>
  <c r="E34" i="6" s="1"/>
  <c r="F34" i="6" s="1"/>
  <c r="G34" i="6" s="1"/>
  <c r="C35" i="6"/>
  <c r="E35" i="6" s="1"/>
  <c r="F35" i="6" s="1"/>
  <c r="G35" i="6" s="1"/>
  <c r="C36" i="6"/>
  <c r="E36" i="6" s="1"/>
  <c r="F36" i="6" s="1"/>
  <c r="G36" i="6" s="1"/>
  <c r="C37" i="6"/>
  <c r="E37" i="6" s="1"/>
  <c r="F37" i="6" s="1"/>
  <c r="G37" i="6" s="1"/>
  <c r="C38" i="6"/>
  <c r="E38" i="6" s="1"/>
  <c r="F38" i="6" s="1"/>
  <c r="G38" i="6" s="1"/>
  <c r="C39" i="6"/>
  <c r="E39" i="6" s="1"/>
  <c r="F39" i="6" s="1"/>
  <c r="G39" i="6" s="1"/>
  <c r="C40" i="6"/>
  <c r="E40" i="6" s="1"/>
  <c r="F40" i="6" s="1"/>
  <c r="G40" i="6" s="1"/>
  <c r="C41" i="6"/>
  <c r="E41" i="6" s="1"/>
  <c r="F41" i="6" s="1"/>
  <c r="G41" i="6" s="1"/>
  <c r="B4" i="3"/>
  <c r="G4" i="3"/>
  <c r="F4" i="3"/>
  <c r="C4" i="3"/>
  <c r="B9" i="3" l="1"/>
  <c r="D9" i="3" s="1"/>
  <c r="S4" i="1"/>
  <c r="C47" i="6"/>
  <c r="E47" i="6" s="1"/>
  <c r="F47" i="6" s="1"/>
  <c r="G47" i="6" s="1"/>
  <c r="C42" i="6"/>
  <c r="E42" i="6" s="1"/>
  <c r="F42" i="6" s="1"/>
  <c r="G42" i="6" s="1"/>
  <c r="C46" i="6"/>
  <c r="E46" i="6" s="1"/>
  <c r="F46" i="6" s="1"/>
  <c r="G46" i="6" s="1"/>
  <c r="C45" i="6"/>
  <c r="E45" i="6" s="1"/>
  <c r="F45" i="6" s="1"/>
  <c r="G45" i="6" s="1"/>
  <c r="G9" i="6"/>
  <c r="D4" i="3"/>
  <c r="H4" i="3"/>
  <c r="C13" i="6" l="1"/>
  <c r="E13" i="6" s="1"/>
  <c r="F13" i="6" l="1"/>
  <c r="G13" i="6" s="1"/>
  <c r="C3" i="6" s="1"/>
  <c r="C9" i="3" s="1"/>
  <c r="B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<sst xmlns="http://schemas.openxmlformats.org/spreadsheetml/2006/main" count="66" uniqueCount="37">
  <si>
    <t>Required Classes</t>
  </si>
  <si>
    <t>Name</t>
  </si>
  <si>
    <t>Credits</t>
  </si>
  <si>
    <t>Grade</t>
  </si>
  <si>
    <t>Complete?</t>
  </si>
  <si>
    <t>Term</t>
  </si>
  <si>
    <t>Total Credits Completed so Far</t>
  </si>
  <si>
    <t>Remaining Credits</t>
  </si>
  <si>
    <t>%Complete</t>
  </si>
  <si>
    <t>Elective</t>
  </si>
  <si>
    <t>Overall</t>
  </si>
  <si>
    <t>Total Credits Completed</t>
  </si>
  <si>
    <t>GPA</t>
  </si>
  <si>
    <t>Completion Status</t>
  </si>
  <si>
    <t>Class Data</t>
  </si>
  <si>
    <t>Total Completed Classes</t>
  </si>
  <si>
    <t>Completed credit totals</t>
  </si>
  <si>
    <t>Academic level for enrollment</t>
  </si>
  <si>
    <t>Freshman</t>
  </si>
  <si>
    <t>Sophomore</t>
  </si>
  <si>
    <t>Junior</t>
  </si>
  <si>
    <t>Senior</t>
  </si>
  <si>
    <t>Academic Level for Enrollment</t>
  </si>
  <si>
    <t>Completed graded classes = False</t>
  </si>
  <si>
    <t>GPA Reference</t>
  </si>
  <si>
    <t>Enrollment classification reference</t>
  </si>
  <si>
    <t>GPA Value</t>
  </si>
  <si>
    <t>Credit-Weighted GPA</t>
  </si>
  <si>
    <t>Degree Name</t>
  </si>
  <si>
    <t>Minor Name</t>
  </si>
  <si>
    <t>Course Number*</t>
  </si>
  <si>
    <t>General Education Elective</t>
  </si>
  <si>
    <t>Current Term</t>
  </si>
  <si>
    <t>Example</t>
  </si>
  <si>
    <t>IP = In Progress</t>
  </si>
  <si>
    <t>N/A = Not Graded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</si>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</sst>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8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/>
    <xf numFmtId="0" fontId="0" fillId="0" borderId="10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0" fillId="0" borderId="1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2" fontId="0" fillId="0" borderId="19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8" xfId="0" applyFill="1" applyBorder="1"/>
    <xf numFmtId="0" fontId="0" fillId="0" borderId="14" xfId="0" applyFill="1" applyBorder="1"/>
    <xf numFmtId="0" fontId="0" fillId="0" borderId="0" xfId="0" applyFill="1"/>
    <xf numFmtId="0" fontId="0" fillId="0" borderId="2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2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/>
    <xf numFmtId="0" fontId="0" fillId="0" borderId="1" xfId="0" applyFill="1" applyBorder="1"/>
    <xf numFmtId="0" fontId="0" fillId="0" borderId="3" xfId="0" applyFill="1" applyBorder="1" applyAlignment="1">
      <alignment horizontal="center"/>
    </xf>
    <xf numFmtId="0" fontId="0" fillId="0" borderId="6" xfId="0" applyFill="1" applyBorder="1"/>
    <xf numFmtId="0" fontId="0" fillId="0" borderId="10" xfId="0" applyFill="1" applyBorder="1"/>
    <xf numFmtId="0" fontId="0" fillId="0" borderId="32" xfId="0" applyBorder="1" applyAlignment="1">
      <alignment horizontal="center" vertical="center"/>
    </xf>
    <xf numFmtId="0" fontId="0" fillId="0" borderId="9" xfId="0" applyFill="1" applyBorder="1"/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D9DC"/>
      <color rgb="FFFEB0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C718-3176-4978-B284-7C481FDDEF64}">
  <dimension ref="B1:I9"/>
  <sheetViews>
    <sheetView workbookViewId="0">
      <selection activeCell="H8" sqref="H8"/>
    </sheetView>
  </sheetViews>
  <sheetFormatPr defaultRowHeight="14.4" x14ac:dyDescent="0.3"/>
  <cols>
    <col min="1" max="1" width="3" customWidth="1"/>
    <col min="2" max="2" width="19.21875" customWidth="1"/>
    <col min="3" max="3" width="11.77734375" customWidth="1"/>
    <col min="4" max="4" width="15.33203125" customWidth="1"/>
    <col min="5" max="5" width="8.88671875" customWidth="1"/>
    <col min="6" max="6" width="19" customWidth="1"/>
    <col min="7" max="7" width="13.6640625" customWidth="1"/>
    <col min="8" max="8" width="14.21875" customWidth="1"/>
    <col min="10" max="10" width="19.77734375" customWidth="1"/>
    <col min="11" max="11" width="18.33203125" customWidth="1"/>
    <col min="12" max="12" width="11.44140625" customWidth="1"/>
    <col min="13" max="13" width="11.21875" customWidth="1"/>
  </cols>
  <sheetData>
    <row r="1" spans="2:9" ht="15" thickBot="1" x14ac:dyDescent="0.35"/>
    <row r="2" spans="2:9" ht="15" thickBot="1" x14ac:dyDescent="0.35">
      <c r="B2" s="57" t="s">
        <v>28</v>
      </c>
      <c r="C2" s="58"/>
      <c r="D2" s="59"/>
      <c r="F2" s="60" t="s">
        <v>29</v>
      </c>
      <c r="G2" s="61"/>
      <c r="H2" s="62"/>
    </row>
    <row r="3" spans="2:9" ht="29.4" thickBot="1" x14ac:dyDescent="0.35">
      <c r="B3" s="24" t="s">
        <v>6</v>
      </c>
      <c r="C3" s="24" t="s">
        <v>7</v>
      </c>
      <c r="D3" s="14" t="s">
        <v>8</v>
      </c>
      <c r="F3" s="32" t="s">
        <v>6</v>
      </c>
      <c r="G3" s="24" t="s">
        <v>7</v>
      </c>
      <c r="H3" s="34" t="s">
        <v>8</v>
      </c>
    </row>
    <row r="4" spans="2:9" ht="15" thickBot="1" x14ac:dyDescent="0.35">
      <c r="B4" s="31">
        <f>SUMIF(Major!E3:E31,TRUE,Major!G3:G31)+SUMIF(Major!L3:L8,TRUE,Major!N3:N8)+SUMIF(Major!L11:L16,TRUE,Major!N11:N16)</f>
        <v>0</v>
      </c>
      <c r="C4" s="31">
        <f>SUMIF(Major!E3:E31,FALSE,Major!G3:G31)+SUMIF(Major!L3:L8,FALSE,Major!N3:N8)+SUMIF(Major!L11:L16,FALSE,Major!N11:N16)</f>
        <v>0</v>
      </c>
      <c r="D4" s="31" t="e">
        <f>(B4/(C4+B4))*100</f>
        <v>#DIV/0!</v>
      </c>
      <c r="E4" s="1"/>
      <c r="F4" s="33">
        <f>SUMIF(Minor!E3:E4,TRUE,Minor!G3:G4)+SUMIF(Minor!E7:E11,TRUE,Minor!G7:G11)</f>
        <v>0</v>
      </c>
      <c r="G4" s="31">
        <f>SUMIF(Minor!E3:E4,FALSE,Minor!G3:G4)+SUMIF(Minor!E7:E11,FALSE,Minor!G7:G11)</f>
        <v>0</v>
      </c>
      <c r="H4" s="35" t="e">
        <f>(F4/(F4+G4))*100</f>
        <v>#DIV/0!</v>
      </c>
      <c r="I4" s="1"/>
    </row>
    <row r="6" spans="2:9" ht="15" thickBot="1" x14ac:dyDescent="0.35"/>
    <row r="7" spans="2:9" ht="15" thickBot="1" x14ac:dyDescent="0.35">
      <c r="B7" s="63" t="s">
        <v>10</v>
      </c>
      <c r="C7" s="64"/>
      <c r="D7" s="65"/>
    </row>
    <row r="8" spans="2:9" ht="29.4" thickBot="1" x14ac:dyDescent="0.35">
      <c r="B8" s="50" t="s">
        <v>11</v>
      </c>
      <c r="C8" s="51" t="s">
        <v>12</v>
      </c>
      <c r="D8" s="24" t="s">
        <v>22</v>
      </c>
    </row>
    <row r="9" spans="2:9" ht="15" thickBot="1" x14ac:dyDescent="0.35">
      <c r="B9" s="31" t="e">
        <f>B4+F4+SUM(#REF!)+SUM(Major!#REF!)</f>
        <v>#REF!</v>
      </c>
      <c r="C9" s="56" t="e">
        <f>'GPA Calculations'!C3</f>
        <v>#DIV/0!</v>
      </c>
      <c r="D9" s="28" t="e">
        <f>VLOOKUP(Overview!B9,'GPA Calculations'!$I$5:'GPA Calculations'!$J$8,2)</f>
        <v>#REF!</v>
      </c>
    </row>
  </sheetData>
  <mergeCells count="3">
    <mergeCell ref="B2:D2"/>
    <mergeCell ref="F2:H2"/>
    <mergeCell ref="B7:D7"/>
  </mergeCells>
  <conditionalFormatting sqref="D4 H4">
    <cfRule type="colorScale" priority="3">
      <colorScale>
        <cfvo type="num" val="0"/>
        <cfvo type="num" val="100"/>
        <color rgb="FFFEB0B6"/>
        <color rgb="FF00B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04"/>
  <sheetViews>
    <sheetView zoomScale="90" zoomScaleNormal="90" workbookViewId="0">
      <selection activeCell="K24" sqref="K24"/>
    </sheetView>
  </sheetViews>
  <sheetFormatPr defaultRowHeight="14.4" x14ac:dyDescent="0.3"/>
  <cols>
    <col min="1" max="1" width="4.44140625" customWidth="1"/>
    <col min="2" max="2" width="16.6640625" style="1" customWidth="1"/>
    <col min="3" max="3" width="26.44140625" customWidth="1"/>
    <col min="4" max="4" width="38.5546875" customWidth="1"/>
    <col min="5" max="5" width="13.33203125" customWidth="1"/>
    <col min="9" max="9" width="12" style="1" customWidth="1"/>
    <col min="10" max="10" width="29.77734375" customWidth="1"/>
    <col min="11" max="11" width="36" customWidth="1"/>
    <col min="12" max="12" width="10.109375" customWidth="1"/>
  </cols>
  <sheetData>
    <row r="1" spans="2:19" ht="15" thickBot="1" x14ac:dyDescent="0.35"/>
    <row r="2" spans="2:19" ht="15" thickBot="1" x14ac:dyDescent="0.35">
      <c r="B2" s="14" t="s">
        <v>5</v>
      </c>
      <c r="C2" s="14" t="s">
        <v>0</v>
      </c>
      <c r="D2" s="14" t="s">
        <v>1</v>
      </c>
      <c r="E2" s="14" t="s">
        <v>4</v>
      </c>
      <c r="F2" s="79" t="s">
        <v>3</v>
      </c>
      <c r="G2" s="14" t="s">
        <v>2</v>
      </c>
      <c r="I2" s="14" t="s">
        <v>5</v>
      </c>
      <c r="J2" s="41" t="s">
        <v>9</v>
      </c>
      <c r="K2" s="14" t="s">
        <v>1</v>
      </c>
      <c r="L2" s="14" t="s">
        <v>4</v>
      </c>
      <c r="M2" s="55" t="s">
        <v>3</v>
      </c>
      <c r="N2" s="14" t="s">
        <v>2</v>
      </c>
    </row>
    <row r="3" spans="2:19" x14ac:dyDescent="0.3">
      <c r="B3" s="13">
        <v>1</v>
      </c>
      <c r="C3" s="15" t="s">
        <v>30</v>
      </c>
      <c r="D3" s="16" t="s">
        <v>33</v>
      </c>
      <c r="E3" s="17" t="b">
        <v>1</v>
      </c>
      <c r="F3" s="44" t="str" cm="1">
        <f t="array" ref="F3">_xlfn.IFS(B3=I$20,"IP",E3=FALSE,"")</f>
        <v>IP</v>
      </c>
      <c r="G3" s="18">
        <v>0</v>
      </c>
      <c r="H3" s="1"/>
      <c r="I3" s="27"/>
      <c r="J3" s="25"/>
      <c r="K3" s="15"/>
      <c r="L3" s="26" t="b">
        <v>0</v>
      </c>
      <c r="M3" s="29" t="str" cm="1">
        <f t="array" ref="M3">_xlfn.IFS(I3=I$20,"IP",L3=FALSE," ")</f>
        <v xml:space="preserve"> </v>
      </c>
      <c r="N3" s="18"/>
    </row>
    <row r="4" spans="2:19" x14ac:dyDescent="0.3">
      <c r="B4" s="2"/>
      <c r="C4" s="4"/>
      <c r="D4" s="5"/>
      <c r="E4" s="8" t="b">
        <v>0</v>
      </c>
      <c r="F4" s="9" t="str" cm="1">
        <f t="array" ref="F4">_xlfn.IFS(B4=I$20,"IP",E4=FALSE,"")</f>
        <v/>
      </c>
      <c r="G4" s="6"/>
      <c r="H4" s="1"/>
      <c r="I4" s="10"/>
      <c r="J4" s="20"/>
      <c r="K4" s="4"/>
      <c r="L4" s="39" t="b">
        <v>0</v>
      </c>
      <c r="M4" s="10" t="str" cm="1">
        <f t="array" ref="M4">_xlfn.IFS(I4=I$20,"IP",L4=FALSE," ")</f>
        <v xml:space="preserve"> </v>
      </c>
      <c r="N4" s="6"/>
      <c r="S4" t="str">
        <f>M16</f>
        <v/>
      </c>
    </row>
    <row r="5" spans="2:19" x14ac:dyDescent="0.3">
      <c r="B5" s="2"/>
      <c r="C5" s="4"/>
      <c r="D5" s="5"/>
      <c r="E5" s="8" t="b">
        <v>0</v>
      </c>
      <c r="F5" s="9" t="str" cm="1">
        <f t="array" ref="F5">_xlfn.IFS(B5=I$20,"IP",E5=FALSE,"")</f>
        <v/>
      </c>
      <c r="G5" s="6"/>
      <c r="H5" s="1"/>
      <c r="I5" s="10"/>
      <c r="J5" s="20"/>
      <c r="K5" s="4"/>
      <c r="L5" s="39" t="b">
        <v>0</v>
      </c>
      <c r="M5" s="10" t="str" cm="1">
        <f t="array" ref="M5">_xlfn.IFS(I5=I$20,"IP",L5=FALSE," ")</f>
        <v xml:space="preserve"> </v>
      </c>
      <c r="N5" s="6"/>
    </row>
    <row r="6" spans="2:19" x14ac:dyDescent="0.3">
      <c r="B6" s="2"/>
      <c r="C6" s="4"/>
      <c r="D6" s="5"/>
      <c r="E6" s="8" t="b">
        <v>0</v>
      </c>
      <c r="F6" s="9" t="str" cm="1">
        <f t="array" ref="F6">_xlfn.IFS(B6=I$20,"IP",E6=FALSE,"")</f>
        <v/>
      </c>
      <c r="G6" s="6"/>
      <c r="H6" s="1"/>
      <c r="I6" s="10"/>
      <c r="J6" s="20"/>
      <c r="K6" s="4"/>
      <c r="L6" s="39" t="b">
        <v>0</v>
      </c>
      <c r="M6" s="10" t="str" cm="1">
        <f t="array" ref="M6">_xlfn.IFS(I6=I$20,"IP",L6=FALSE," ")</f>
        <v xml:space="preserve"> </v>
      </c>
      <c r="N6" s="6"/>
    </row>
    <row r="7" spans="2:19" x14ac:dyDescent="0.3">
      <c r="B7" s="2"/>
      <c r="C7" s="4"/>
      <c r="D7" s="5"/>
      <c r="E7" s="8" t="b">
        <v>0</v>
      </c>
      <c r="F7" s="9" t="str" cm="1">
        <f t="array" ref="F7">_xlfn.IFS(B7=I$20,"IP",E7=FALSE,"")</f>
        <v/>
      </c>
      <c r="G7" s="6"/>
      <c r="H7" s="1"/>
      <c r="I7" s="10"/>
      <c r="J7" s="20"/>
      <c r="K7" s="4"/>
      <c r="L7" s="39" t="b">
        <v>0</v>
      </c>
      <c r="M7" s="10" t="str" cm="1">
        <f t="array" ref="M7">_xlfn.IFS(I7=I$20,"IP",L7=FALSE," ")</f>
        <v xml:space="preserve"> </v>
      </c>
      <c r="N7" s="6"/>
    </row>
    <row r="8" spans="2:19" ht="15" thickBot="1" x14ac:dyDescent="0.35">
      <c r="B8" s="2"/>
      <c r="C8" s="4"/>
      <c r="D8" s="5"/>
      <c r="E8" s="8" t="b">
        <v>0</v>
      </c>
      <c r="F8" s="9" t="str" cm="1">
        <f t="array" ref="F8">_xlfn.IFS(B8=I$20,"IP",E8=FALSE,"")</f>
        <v/>
      </c>
      <c r="G8" s="6"/>
      <c r="H8" s="1"/>
      <c r="I8" s="12"/>
      <c r="J8" s="38"/>
      <c r="K8" s="19"/>
      <c r="L8" s="40" t="b">
        <v>0</v>
      </c>
      <c r="M8" s="12" t="str" cm="1">
        <f t="array" ref="M8">_xlfn.IFS(I8=I$20,"IP",L8=FALSE," ")</f>
        <v xml:space="preserve"> </v>
      </c>
      <c r="N8" s="7"/>
    </row>
    <row r="9" spans="2:19" ht="15" thickBot="1" x14ac:dyDescent="0.35">
      <c r="B9" s="2"/>
      <c r="C9" s="4"/>
      <c r="D9" s="5"/>
      <c r="E9" s="8" t="b">
        <v>0</v>
      </c>
      <c r="F9" s="9" t="str" cm="1">
        <f t="array" ref="F9">_xlfn.IFS(B9=I$20,"IP",E9=FALSE,"")</f>
        <v/>
      </c>
      <c r="G9" s="6"/>
      <c r="H9" s="1"/>
      <c r="N9" s="1"/>
    </row>
    <row r="10" spans="2:19" ht="15" thickBot="1" x14ac:dyDescent="0.35">
      <c r="B10" s="2"/>
      <c r="C10" s="4"/>
      <c r="D10" s="5"/>
      <c r="E10" s="8" t="b">
        <v>0</v>
      </c>
      <c r="F10" s="9" t="str" cm="1">
        <f t="array" ref="F10">_xlfn.IFS(B10=I$20,"IP",E10=FALSE,"")</f>
        <v/>
      </c>
      <c r="G10" s="6"/>
      <c r="H10" s="1"/>
      <c r="I10" s="14" t="s">
        <v>5</v>
      </c>
      <c r="J10" s="24" t="s">
        <v>31</v>
      </c>
      <c r="K10" s="14" t="s">
        <v>1</v>
      </c>
      <c r="L10" s="14" t="s">
        <v>4</v>
      </c>
      <c r="M10" s="79" t="s">
        <v>3</v>
      </c>
      <c r="N10" s="14" t="s">
        <v>2</v>
      </c>
    </row>
    <row r="11" spans="2:19" x14ac:dyDescent="0.3">
      <c r="B11" s="2"/>
      <c r="C11" s="4"/>
      <c r="D11" s="5"/>
      <c r="E11" s="8" t="b">
        <v>0</v>
      </c>
      <c r="F11" s="9" t="str" cm="1">
        <f t="array" ref="F11">_xlfn.IFS(B11=I$20,"IP",E11=FALSE,"")</f>
        <v/>
      </c>
      <c r="G11" s="6"/>
      <c r="H11" s="1"/>
      <c r="I11" s="13"/>
      <c r="J11" s="15"/>
      <c r="K11" s="25"/>
      <c r="L11" s="17" t="b">
        <v>0</v>
      </c>
      <c r="M11" s="44" t="str" cm="1">
        <f t="array" ref="M11">_xlfn.IFS(I11=I$20,"IP",L11=FALSE,"")</f>
        <v/>
      </c>
      <c r="N11" s="18"/>
    </row>
    <row r="12" spans="2:19" x14ac:dyDescent="0.3">
      <c r="B12" s="2"/>
      <c r="C12" s="4"/>
      <c r="D12" s="5"/>
      <c r="E12" s="8" t="b">
        <v>0</v>
      </c>
      <c r="F12" s="9" t="str" cm="1">
        <f t="array" ref="F12">_xlfn.IFS(B12=I$20,"IP",E12=FALSE,"")</f>
        <v/>
      </c>
      <c r="G12" s="6"/>
      <c r="H12" s="1"/>
      <c r="I12" s="2"/>
      <c r="J12" s="4"/>
      <c r="K12" s="20"/>
      <c r="L12" s="8" t="b">
        <v>0</v>
      </c>
      <c r="M12" s="9" t="str" cm="1">
        <f t="array" ref="M12">_xlfn.IFS(I12=I$20,"IP",L12=FALSE,"")</f>
        <v/>
      </c>
      <c r="N12" s="6"/>
    </row>
    <row r="13" spans="2:19" x14ac:dyDescent="0.3">
      <c r="B13" s="2"/>
      <c r="C13" s="4"/>
      <c r="D13" s="5"/>
      <c r="E13" s="8" t="b">
        <v>0</v>
      </c>
      <c r="F13" s="9" t="str" cm="1">
        <f t="array" ref="F13">_xlfn.IFS(B13=I$20,"IP",E13=FALSE,"")</f>
        <v/>
      </c>
      <c r="G13" s="6"/>
      <c r="H13" s="1"/>
      <c r="I13" s="2"/>
      <c r="J13" s="4"/>
      <c r="K13" s="20"/>
      <c r="L13" s="8" t="b">
        <v>0</v>
      </c>
      <c r="M13" s="9" t="str" cm="1">
        <f t="array" ref="M13">_xlfn.IFS(I13=I$20,"IP",L13=FALSE,"")</f>
        <v/>
      </c>
      <c r="N13" s="6"/>
    </row>
    <row r="14" spans="2:19" x14ac:dyDescent="0.3">
      <c r="B14" s="2"/>
      <c r="C14" s="4"/>
      <c r="D14" s="5"/>
      <c r="E14" s="8" t="b">
        <v>0</v>
      </c>
      <c r="F14" s="9" t="str" cm="1">
        <f t="array" ref="F14">_xlfn.IFS(B14=I$20,"IP",E14=FALSE,"")</f>
        <v/>
      </c>
      <c r="G14" s="6"/>
      <c r="H14" s="1"/>
      <c r="I14" s="2"/>
      <c r="J14" s="4"/>
      <c r="K14" s="20"/>
      <c r="L14" s="8" t="b">
        <v>0</v>
      </c>
      <c r="M14" s="9" t="str" cm="1">
        <f t="array" ref="M14">_xlfn.IFS(I14=I$20,"IP",L14=FALSE,"")</f>
        <v/>
      </c>
      <c r="N14" s="6"/>
    </row>
    <row r="15" spans="2:19" x14ac:dyDescent="0.3">
      <c r="B15" s="2"/>
      <c r="C15" s="4"/>
      <c r="D15" s="5"/>
      <c r="E15" s="8" t="b">
        <v>0</v>
      </c>
      <c r="F15" s="9" t="str" cm="1">
        <f t="array" ref="F15">_xlfn.IFS(B15=I$20,"IP",E15=FALSE,"")</f>
        <v/>
      </c>
      <c r="G15" s="6"/>
      <c r="H15" s="1"/>
      <c r="I15" s="2"/>
      <c r="J15" s="4"/>
      <c r="K15" s="20"/>
      <c r="L15" s="8" t="b">
        <v>0</v>
      </c>
      <c r="M15" s="9" t="str" cm="1">
        <f t="array" ref="M15">_xlfn.IFS(I15=I$20,"IP",L15=FALSE,"")</f>
        <v/>
      </c>
      <c r="N15" s="6"/>
    </row>
    <row r="16" spans="2:19" ht="15" thickBot="1" x14ac:dyDescent="0.35">
      <c r="B16" s="2"/>
      <c r="C16" s="4"/>
      <c r="D16" s="5"/>
      <c r="E16" s="8" t="b">
        <v>0</v>
      </c>
      <c r="F16" s="9" t="str" cm="1">
        <f t="array" ref="F16">_xlfn.IFS(B16=I$20,"IP",E16=FALSE,"")</f>
        <v/>
      </c>
      <c r="G16" s="6"/>
      <c r="H16" s="1"/>
      <c r="I16" s="66"/>
      <c r="J16" s="67"/>
      <c r="K16" s="68"/>
      <c r="L16" s="11" t="b">
        <v>0</v>
      </c>
      <c r="M16" s="21" t="str" cm="1">
        <f t="array" ref="M16">_xlfn.IFS(I16=I$20,"IP",L16=FALSE,"")</f>
        <v/>
      </c>
      <c r="N16" s="7"/>
    </row>
    <row r="17" spans="2:11" ht="15" thickBot="1" x14ac:dyDescent="0.35">
      <c r="B17" s="2"/>
      <c r="C17" s="4"/>
      <c r="D17" s="5"/>
      <c r="E17" s="8" t="b">
        <v>0</v>
      </c>
      <c r="F17" s="9" t="str" cm="1">
        <f t="array" ref="F17">_xlfn.IFS(B17=I$20,"IP",E17=FALSE,"")</f>
        <v/>
      </c>
      <c r="G17" s="6"/>
      <c r="H17" s="1"/>
    </row>
    <row r="18" spans="2:11" ht="15" thickBot="1" x14ac:dyDescent="0.35">
      <c r="B18" s="2"/>
      <c r="C18" s="4"/>
      <c r="D18" s="5"/>
      <c r="E18" s="8" t="b">
        <v>0</v>
      </c>
      <c r="F18" s="9" t="str" cm="1">
        <f t="array" ref="F18">_xlfn.IFS(B18=I$20,"IP",E18=FALSE,"")</f>
        <v/>
      </c>
      <c r="G18" s="6"/>
      <c r="H18" s="1"/>
      <c r="I18" s="81" t="s">
        <v>32</v>
      </c>
      <c r="K18" s="54" t="s">
        <v>36</v>
      </c>
    </row>
    <row r="19" spans="2:11" ht="15" thickBot="1" x14ac:dyDescent="0.35">
      <c r="B19" s="2"/>
      <c r="C19" s="4"/>
      <c r="D19" s="5"/>
      <c r="E19" s="8" t="b">
        <v>0</v>
      </c>
      <c r="F19" s="9" t="str" cm="1">
        <f t="array" ref="F19">_xlfn.IFS(B19=I$20,"IP",E19=FALSE,"")</f>
        <v/>
      </c>
      <c r="G19" s="6"/>
      <c r="H19" s="1"/>
      <c r="I19" s="82"/>
      <c r="K19" s="29" t="s">
        <v>34</v>
      </c>
    </row>
    <row r="20" spans="2:11" ht="15" thickBot="1" x14ac:dyDescent="0.35">
      <c r="B20" s="2"/>
      <c r="C20" s="4"/>
      <c r="D20" s="5"/>
      <c r="E20" s="8" t="b">
        <v>0</v>
      </c>
      <c r="F20" s="9" t="str" cm="1">
        <f t="array" ref="F20">_xlfn.IFS(B20=I$20,"IP",E20=FALSE,"")</f>
        <v/>
      </c>
      <c r="G20" s="6"/>
      <c r="H20" s="1"/>
      <c r="I20" s="83">
        <v>1</v>
      </c>
      <c r="K20" s="12" t="s">
        <v>35</v>
      </c>
    </row>
    <row r="21" spans="2:11" ht="15" thickBot="1" x14ac:dyDescent="0.35">
      <c r="B21" s="2"/>
      <c r="C21" s="4"/>
      <c r="D21" s="5"/>
      <c r="E21" s="8" t="b">
        <v>0</v>
      </c>
      <c r="F21" s="9" t="str" cm="1">
        <f t="array" ref="F21">_xlfn.IFS(B21=I$20,"IP",E21=FALSE,"")</f>
        <v/>
      </c>
      <c r="G21" s="6"/>
      <c r="H21" s="1"/>
      <c r="I21" s="84"/>
    </row>
    <row r="22" spans="2:11" x14ac:dyDescent="0.3">
      <c r="B22" s="2"/>
      <c r="C22" s="4"/>
      <c r="D22" s="5"/>
      <c r="E22" s="8" t="b">
        <v>0</v>
      </c>
      <c r="F22" s="9" t="str" cm="1">
        <f t="array" ref="F22">_xlfn.IFS(B22=I$20,"IP",E22=FALSE,"")</f>
        <v/>
      </c>
      <c r="G22" s="6"/>
      <c r="H22" s="1"/>
    </row>
    <row r="23" spans="2:11" x14ac:dyDescent="0.3">
      <c r="B23" s="2"/>
      <c r="C23" s="4"/>
      <c r="D23" s="5"/>
      <c r="E23" s="8" t="b">
        <v>0</v>
      </c>
      <c r="F23" s="9" t="str" cm="1">
        <f t="array" ref="F23">_xlfn.IFS(B23=I$20,"IP",E23=FALSE,"")</f>
        <v/>
      </c>
      <c r="G23" s="6"/>
      <c r="H23" s="1"/>
    </row>
    <row r="24" spans="2:11" x14ac:dyDescent="0.3">
      <c r="B24" s="2"/>
      <c r="C24" s="4"/>
      <c r="D24" s="5"/>
      <c r="E24" s="8" t="b">
        <v>0</v>
      </c>
      <c r="F24" s="9" t="str" cm="1">
        <f t="array" ref="F24">_xlfn.IFS(B24=I$20,"IP",E24=FALSE,"")</f>
        <v/>
      </c>
      <c r="G24" s="6"/>
      <c r="H24" s="1"/>
    </row>
    <row r="25" spans="2:11" x14ac:dyDescent="0.3">
      <c r="B25" s="2"/>
      <c r="C25" s="4"/>
      <c r="D25" s="5"/>
      <c r="E25" s="8" t="b">
        <v>0</v>
      </c>
      <c r="F25" s="9" t="str" cm="1">
        <f t="array" ref="F25">_xlfn.IFS(B25=I$20,"IP",E25=FALSE,"")</f>
        <v/>
      </c>
      <c r="G25" s="6"/>
      <c r="H25" s="1"/>
    </row>
    <row r="26" spans="2:11" x14ac:dyDescent="0.3">
      <c r="B26" s="2"/>
      <c r="C26" s="4"/>
      <c r="D26" s="5"/>
      <c r="E26" s="8" t="b">
        <v>0</v>
      </c>
      <c r="F26" s="9" t="str" cm="1">
        <f t="array" ref="F26">_xlfn.IFS(B26=I$20,"IP",E26=FALSE,"")</f>
        <v/>
      </c>
      <c r="G26" s="6"/>
      <c r="H26" s="1"/>
    </row>
    <row r="27" spans="2:11" x14ac:dyDescent="0.3">
      <c r="B27" s="2"/>
      <c r="C27" s="4"/>
      <c r="D27" s="5"/>
      <c r="E27" s="8" t="b">
        <v>0</v>
      </c>
      <c r="F27" s="9" t="str" cm="1">
        <f t="array" ref="F27">_xlfn.IFS(B27=I$20,"IP",E27=FALSE,"")</f>
        <v/>
      </c>
      <c r="G27" s="6"/>
      <c r="H27" s="1"/>
    </row>
    <row r="28" spans="2:11" x14ac:dyDescent="0.3">
      <c r="B28" s="2"/>
      <c r="C28" s="4"/>
      <c r="D28" s="5"/>
      <c r="E28" s="8" t="b">
        <v>0</v>
      </c>
      <c r="F28" s="9" t="str" cm="1">
        <f t="array" ref="F28">_xlfn.IFS(B28=I$20,"IP",E28=FALSE,"")</f>
        <v/>
      </c>
      <c r="G28" s="6"/>
      <c r="H28" s="1"/>
    </row>
    <row r="29" spans="2:11" x14ac:dyDescent="0.3">
      <c r="B29" s="2"/>
      <c r="C29" s="4"/>
      <c r="D29" s="5"/>
      <c r="E29" s="8" t="b">
        <v>0</v>
      </c>
      <c r="F29" s="9" t="str" cm="1">
        <f t="array" ref="F29">_xlfn.IFS(B29=I$20,"IP",E29=FALSE,"")</f>
        <v/>
      </c>
      <c r="G29" s="6"/>
      <c r="H29" s="1"/>
    </row>
    <row r="30" spans="2:11" x14ac:dyDescent="0.3">
      <c r="B30" s="2"/>
      <c r="C30" s="4"/>
      <c r="D30" s="5"/>
      <c r="E30" s="8" t="b">
        <v>0</v>
      </c>
      <c r="F30" s="9" t="str" cm="1">
        <f t="array" ref="F30">_xlfn.IFS(B30=I$20,"IP",E30=FALSE,"")</f>
        <v/>
      </c>
      <c r="G30" s="6"/>
      <c r="H30" s="1"/>
    </row>
    <row r="31" spans="2:11" ht="15" thickBot="1" x14ac:dyDescent="0.35">
      <c r="B31" s="66"/>
      <c r="C31" s="67"/>
      <c r="D31" s="80"/>
      <c r="E31" s="11" t="b">
        <v>0</v>
      </c>
      <c r="F31" s="21" t="str" cm="1">
        <f t="array" ref="F31">_xlfn.IFS(B31=I$20,"IP",E31=FALSE,"")</f>
        <v/>
      </c>
      <c r="G31" s="7"/>
      <c r="H31" s="1"/>
    </row>
    <row r="33" spans="5:8" x14ac:dyDescent="0.3">
      <c r="E33" s="1"/>
      <c r="F33" s="1"/>
      <c r="G33" s="1"/>
      <c r="H33" s="1"/>
    </row>
    <row r="34" spans="5:8" x14ac:dyDescent="0.3">
      <c r="H34" s="1"/>
    </row>
    <row r="35" spans="5:8" x14ac:dyDescent="0.3">
      <c r="H35" s="1"/>
    </row>
    <row r="36" spans="5:8" x14ac:dyDescent="0.3">
      <c r="H36" s="1"/>
    </row>
    <row r="37" spans="5:8" x14ac:dyDescent="0.3">
      <c r="H37" s="1"/>
    </row>
    <row r="38" spans="5:8" x14ac:dyDescent="0.3">
      <c r="H38" s="1"/>
    </row>
    <row r="39" spans="5:8" x14ac:dyDescent="0.3">
      <c r="H39" s="1"/>
    </row>
    <row r="40" spans="5:8" x14ac:dyDescent="0.3">
      <c r="H40" s="1"/>
    </row>
    <row r="41" spans="5:8" x14ac:dyDescent="0.3">
      <c r="E41" s="1"/>
      <c r="F41" s="1"/>
      <c r="G41" s="1"/>
      <c r="H41" s="1"/>
    </row>
    <row r="42" spans="5:8" x14ac:dyDescent="0.3">
      <c r="E42" s="1"/>
      <c r="F42" s="1"/>
      <c r="G42" s="1"/>
      <c r="H42" s="1"/>
    </row>
    <row r="43" spans="5:8" x14ac:dyDescent="0.3">
      <c r="E43" s="1"/>
      <c r="F43" s="1"/>
      <c r="G43" s="1"/>
      <c r="H43" s="1"/>
    </row>
    <row r="44" spans="5:8" x14ac:dyDescent="0.3">
      <c r="E44" s="1"/>
      <c r="F44" s="1"/>
      <c r="G44" s="1"/>
      <c r="H44" s="1"/>
    </row>
    <row r="45" spans="5:8" x14ac:dyDescent="0.3">
      <c r="E45" s="1"/>
      <c r="F45" s="1"/>
      <c r="G45" s="1"/>
      <c r="H45" s="1"/>
    </row>
    <row r="46" spans="5:8" x14ac:dyDescent="0.3">
      <c r="E46" s="1"/>
      <c r="F46" s="1"/>
      <c r="G46" s="1"/>
      <c r="H46" s="1"/>
    </row>
    <row r="47" spans="5:8" x14ac:dyDescent="0.3">
      <c r="E47" s="1"/>
      <c r="F47" s="1"/>
      <c r="G47" s="1"/>
      <c r="H47" s="1"/>
    </row>
    <row r="48" spans="5:8" x14ac:dyDescent="0.3">
      <c r="E48" s="1"/>
      <c r="F48" s="1"/>
      <c r="G48" s="1"/>
      <c r="H48" s="1"/>
    </row>
    <row r="49" spans="5:8" x14ac:dyDescent="0.3">
      <c r="E49" s="1"/>
      <c r="F49" s="1"/>
      <c r="G49" s="1"/>
      <c r="H49" s="1"/>
    </row>
    <row r="50" spans="5:8" x14ac:dyDescent="0.3">
      <c r="E50" s="1"/>
      <c r="F50" s="1"/>
      <c r="G50" s="1"/>
      <c r="H50" s="1"/>
    </row>
    <row r="51" spans="5:8" x14ac:dyDescent="0.3">
      <c r="E51" s="1"/>
      <c r="F51" s="1"/>
      <c r="G51" s="1"/>
      <c r="H51" s="1"/>
    </row>
    <row r="52" spans="5:8" x14ac:dyDescent="0.3">
      <c r="E52" s="1"/>
      <c r="F52" s="1"/>
      <c r="G52" s="1"/>
      <c r="H52" s="1"/>
    </row>
    <row r="53" spans="5:8" x14ac:dyDescent="0.3">
      <c r="E53" s="1"/>
      <c r="F53" s="1"/>
      <c r="G53" s="1"/>
      <c r="H53" s="1"/>
    </row>
    <row r="54" spans="5:8" x14ac:dyDescent="0.3">
      <c r="E54" s="1"/>
      <c r="F54" s="1"/>
      <c r="G54" s="1"/>
      <c r="H54" s="1"/>
    </row>
    <row r="55" spans="5:8" x14ac:dyDescent="0.3">
      <c r="E55" s="1"/>
      <c r="F55" s="1"/>
      <c r="G55" s="1"/>
      <c r="H55" s="1"/>
    </row>
    <row r="56" spans="5:8" x14ac:dyDescent="0.3">
      <c r="E56" s="1"/>
      <c r="F56" s="1"/>
      <c r="G56" s="1"/>
      <c r="H56" s="1"/>
    </row>
    <row r="57" spans="5:8" x14ac:dyDescent="0.3">
      <c r="E57" s="1"/>
      <c r="F57" s="1"/>
      <c r="G57" s="1"/>
      <c r="H57" s="1"/>
    </row>
    <row r="58" spans="5:8" x14ac:dyDescent="0.3">
      <c r="E58" s="1"/>
      <c r="F58" s="1"/>
      <c r="G58" s="1"/>
      <c r="H58" s="1"/>
    </row>
    <row r="59" spans="5:8" x14ac:dyDescent="0.3">
      <c r="E59" s="1"/>
      <c r="F59" s="1"/>
      <c r="G59" s="1"/>
      <c r="H59" s="1"/>
    </row>
    <row r="60" spans="5:8" x14ac:dyDescent="0.3">
      <c r="E60" s="1"/>
      <c r="F60" s="1"/>
      <c r="G60" s="1"/>
      <c r="H60" s="1"/>
    </row>
    <row r="61" spans="5:8" x14ac:dyDescent="0.3">
      <c r="E61" s="1"/>
      <c r="F61" s="1"/>
      <c r="G61" s="1"/>
      <c r="H61" s="1"/>
    </row>
    <row r="62" spans="5:8" x14ac:dyDescent="0.3">
      <c r="E62" s="1"/>
      <c r="F62" s="1"/>
      <c r="G62" s="1"/>
      <c r="H62" s="1"/>
    </row>
    <row r="63" spans="5:8" x14ac:dyDescent="0.3">
      <c r="E63" s="1"/>
      <c r="F63" s="1"/>
      <c r="G63" s="1"/>
      <c r="H63" s="1"/>
    </row>
    <row r="64" spans="5:8" x14ac:dyDescent="0.3">
      <c r="E64" s="1"/>
      <c r="F64" s="1"/>
      <c r="G64" s="1"/>
      <c r="H64" s="1"/>
    </row>
    <row r="65" spans="5:8" x14ac:dyDescent="0.3">
      <c r="E65" s="1"/>
      <c r="F65" s="1"/>
      <c r="G65" s="1"/>
      <c r="H65" s="1"/>
    </row>
    <row r="66" spans="5:8" x14ac:dyDescent="0.3">
      <c r="E66" s="1"/>
      <c r="F66" s="1"/>
      <c r="G66" s="1"/>
      <c r="H66" s="1"/>
    </row>
    <row r="67" spans="5:8" x14ac:dyDescent="0.3">
      <c r="E67" s="1"/>
      <c r="F67" s="1"/>
      <c r="G67" s="1"/>
      <c r="H67" s="1"/>
    </row>
    <row r="68" spans="5:8" x14ac:dyDescent="0.3">
      <c r="E68" s="1"/>
      <c r="F68" s="1"/>
      <c r="G68" s="1"/>
      <c r="H68" s="1"/>
    </row>
    <row r="69" spans="5:8" x14ac:dyDescent="0.3">
      <c r="E69" s="1"/>
      <c r="F69" s="1"/>
      <c r="G69" s="1"/>
      <c r="H69" s="1"/>
    </row>
    <row r="70" spans="5:8" x14ac:dyDescent="0.3">
      <c r="E70" s="1"/>
      <c r="F70" s="1"/>
      <c r="G70" s="1"/>
      <c r="H70" s="1"/>
    </row>
    <row r="71" spans="5:8" x14ac:dyDescent="0.3">
      <c r="E71" s="1"/>
      <c r="F71" s="1"/>
      <c r="G71" s="1"/>
      <c r="H71" s="1"/>
    </row>
    <row r="72" spans="5:8" x14ac:dyDescent="0.3">
      <c r="E72" s="1"/>
      <c r="F72" s="1"/>
      <c r="G72" s="1"/>
      <c r="H72" s="1"/>
    </row>
    <row r="73" spans="5:8" x14ac:dyDescent="0.3">
      <c r="E73" s="1"/>
      <c r="F73" s="1"/>
      <c r="G73" s="1"/>
      <c r="H73" s="1"/>
    </row>
    <row r="74" spans="5:8" x14ac:dyDescent="0.3">
      <c r="E74" s="1"/>
      <c r="F74" s="1"/>
      <c r="G74" s="1"/>
      <c r="H74" s="1"/>
    </row>
    <row r="75" spans="5:8" x14ac:dyDescent="0.3">
      <c r="E75" s="1"/>
      <c r="F75" s="1"/>
      <c r="G75" s="1"/>
      <c r="H75" s="1"/>
    </row>
    <row r="76" spans="5:8" x14ac:dyDescent="0.3">
      <c r="E76" s="1"/>
      <c r="F76" s="1"/>
      <c r="G76" s="1"/>
      <c r="H76" s="1"/>
    </row>
    <row r="77" spans="5:8" x14ac:dyDescent="0.3">
      <c r="E77" s="1"/>
      <c r="F77" s="1"/>
      <c r="G77" s="1"/>
      <c r="H77" s="1"/>
    </row>
    <row r="78" spans="5:8" x14ac:dyDescent="0.3">
      <c r="E78" s="1"/>
      <c r="F78" s="1"/>
      <c r="G78" s="1"/>
      <c r="H78" s="1"/>
    </row>
    <row r="79" spans="5:8" x14ac:dyDescent="0.3">
      <c r="E79" s="1"/>
      <c r="F79" s="1"/>
      <c r="G79" s="1"/>
      <c r="H79" s="1"/>
    </row>
    <row r="80" spans="5:8" x14ac:dyDescent="0.3">
      <c r="E80" s="1"/>
      <c r="F80" s="1"/>
      <c r="G80" s="1"/>
      <c r="H80" s="1"/>
    </row>
    <row r="81" spans="5:8" x14ac:dyDescent="0.3">
      <c r="E81" s="1"/>
      <c r="F81" s="1"/>
      <c r="G81" s="1"/>
      <c r="H81" s="1"/>
    </row>
    <row r="82" spans="5:8" x14ac:dyDescent="0.3">
      <c r="E82" s="1"/>
      <c r="F82" s="1"/>
      <c r="G82" s="1"/>
      <c r="H82" s="1"/>
    </row>
    <row r="83" spans="5:8" x14ac:dyDescent="0.3">
      <c r="E83" s="1"/>
      <c r="F83" s="1"/>
      <c r="G83" s="1"/>
      <c r="H83" s="1"/>
    </row>
    <row r="84" spans="5:8" x14ac:dyDescent="0.3">
      <c r="E84" s="1"/>
      <c r="F84" s="1"/>
      <c r="G84" s="1"/>
      <c r="H84" s="1"/>
    </row>
    <row r="85" spans="5:8" x14ac:dyDescent="0.3">
      <c r="E85" s="1"/>
      <c r="F85" s="1"/>
      <c r="G85" s="1"/>
      <c r="H85" s="1"/>
    </row>
    <row r="86" spans="5:8" x14ac:dyDescent="0.3">
      <c r="E86" s="1"/>
      <c r="F86" s="1"/>
      <c r="G86" s="1"/>
      <c r="H86" s="1"/>
    </row>
    <row r="87" spans="5:8" x14ac:dyDescent="0.3">
      <c r="E87" s="1"/>
      <c r="F87" s="1"/>
      <c r="G87" s="1"/>
      <c r="H87" s="1"/>
    </row>
    <row r="88" spans="5:8" x14ac:dyDescent="0.3">
      <c r="E88" s="1"/>
      <c r="F88" s="1"/>
      <c r="G88" s="1"/>
      <c r="H88" s="1"/>
    </row>
    <row r="89" spans="5:8" x14ac:dyDescent="0.3">
      <c r="E89" s="1"/>
      <c r="F89" s="1"/>
      <c r="G89" s="1"/>
      <c r="H89" s="1"/>
    </row>
    <row r="90" spans="5:8" x14ac:dyDescent="0.3">
      <c r="E90" s="1"/>
      <c r="F90" s="1"/>
      <c r="G90" s="1"/>
      <c r="H90" s="1"/>
    </row>
    <row r="91" spans="5:8" x14ac:dyDescent="0.3">
      <c r="E91" s="1"/>
      <c r="F91" s="1"/>
      <c r="G91" s="1"/>
      <c r="H91" s="1"/>
    </row>
    <row r="92" spans="5:8" x14ac:dyDescent="0.3">
      <c r="E92" s="1"/>
      <c r="F92" s="1"/>
      <c r="G92" s="1"/>
      <c r="H92" s="1"/>
    </row>
    <row r="93" spans="5:8" x14ac:dyDescent="0.3">
      <c r="E93" s="1"/>
      <c r="F93" s="1"/>
      <c r="G93" s="1"/>
      <c r="H93" s="1"/>
    </row>
    <row r="94" spans="5:8" x14ac:dyDescent="0.3">
      <c r="E94" s="1"/>
      <c r="F94" s="1"/>
      <c r="G94" s="1"/>
      <c r="H94" s="1"/>
    </row>
    <row r="95" spans="5:8" x14ac:dyDescent="0.3">
      <c r="E95" s="1"/>
      <c r="F95" s="1"/>
      <c r="G95" s="1"/>
      <c r="H95" s="1"/>
    </row>
    <row r="96" spans="5:8" x14ac:dyDescent="0.3">
      <c r="E96" s="1"/>
      <c r="F96" s="1"/>
      <c r="G96" s="1"/>
      <c r="H96" s="1"/>
    </row>
    <row r="97" spans="5:8" x14ac:dyDescent="0.3">
      <c r="E97" s="1"/>
      <c r="F97" s="1"/>
      <c r="G97" s="1"/>
      <c r="H97" s="1"/>
    </row>
    <row r="98" spans="5:8" x14ac:dyDescent="0.3">
      <c r="E98" s="1"/>
      <c r="F98" s="1"/>
      <c r="G98" s="1"/>
      <c r="H98" s="1"/>
    </row>
    <row r="99" spans="5:8" x14ac:dyDescent="0.3">
      <c r="E99" s="1"/>
      <c r="F99" s="1"/>
      <c r="G99" s="1"/>
      <c r="H99" s="1"/>
    </row>
    <row r="100" spans="5:8" x14ac:dyDescent="0.3">
      <c r="E100" s="1"/>
      <c r="F100" s="1"/>
      <c r="G100" s="1"/>
      <c r="H100" s="1"/>
    </row>
    <row r="101" spans="5:8" x14ac:dyDescent="0.3">
      <c r="E101" s="1"/>
      <c r="F101" s="1"/>
      <c r="G101" s="1"/>
      <c r="H101" s="1"/>
    </row>
    <row r="102" spans="5:8" x14ac:dyDescent="0.3">
      <c r="E102" s="1"/>
      <c r="F102" s="1"/>
      <c r="G102" s="1"/>
      <c r="H102" s="1"/>
    </row>
    <row r="103" spans="5:8" x14ac:dyDescent="0.3">
      <c r="E103" s="1"/>
      <c r="F103" s="1"/>
      <c r="G103" s="1"/>
      <c r="H103" s="1"/>
    </row>
    <row r="104" spans="5:8" x14ac:dyDescent="0.3">
      <c r="E104" s="1"/>
      <c r="F104" s="1"/>
      <c r="G104" s="1"/>
      <c r="H104" s="1"/>
    </row>
  </sheetData>
  <mergeCells count="2">
    <mergeCell ref="I18:I19"/>
    <mergeCell ref="I20:I21"/>
  </mergeCells>
  <phoneticPr fontId="1" type="noConversion"/>
  <conditionalFormatting sqref="L11:L16 E3:E31 L3:L8">
    <cfRule type="cellIs" dxfId="3" priority="3" operator="equal">
      <formula>FALSE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187C6431-53A5-4C5C-8629-DACC7B5D0519}">
            <xm:f>NOT(ISERROR(SEARCH(TRUE,E3)))</xm:f>
            <xm:f>TRUE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L11:L16 E3:E31 L3:L8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B247-E002-484F-AA9B-3F1239FEC8A8}">
  <dimension ref="B1:G12"/>
  <sheetViews>
    <sheetView workbookViewId="0">
      <selection activeCell="F4" sqref="F4"/>
    </sheetView>
  </sheetViews>
  <sheetFormatPr defaultRowHeight="14.4" x14ac:dyDescent="0.3"/>
  <cols>
    <col min="1" max="1" width="3.33203125" customWidth="1"/>
    <col min="3" max="3" width="25.33203125" customWidth="1"/>
    <col min="4" max="4" width="39.6640625" customWidth="1"/>
    <col min="5" max="5" width="9.88671875" customWidth="1"/>
    <col min="10" max="10" width="22.6640625" customWidth="1"/>
    <col min="11" max="11" width="17.33203125" customWidth="1"/>
  </cols>
  <sheetData>
    <row r="1" spans="2:7" ht="15" thickBot="1" x14ac:dyDescent="0.35"/>
    <row r="2" spans="2:7" ht="15" thickBot="1" x14ac:dyDescent="0.35">
      <c r="B2" s="43" t="s">
        <v>5</v>
      </c>
      <c r="C2" s="14" t="s">
        <v>0</v>
      </c>
      <c r="D2" s="41" t="s">
        <v>1</v>
      </c>
      <c r="E2" s="14" t="s">
        <v>4</v>
      </c>
      <c r="F2" s="55" t="s">
        <v>3</v>
      </c>
      <c r="G2" s="79" t="s">
        <v>2</v>
      </c>
    </row>
    <row r="3" spans="2:7" x14ac:dyDescent="0.3">
      <c r="B3" s="45"/>
      <c r="C3" s="15" t="s">
        <v>30</v>
      </c>
      <c r="D3" s="25"/>
      <c r="E3" s="17" t="b">
        <v>0</v>
      </c>
      <c r="F3" s="53" t="str" cm="1">
        <f t="array" ref="F3">_xlfn.IFS(B3=Major!I$20,"IP",E3=FALSE,"")</f>
        <v/>
      </c>
      <c r="G3" s="29"/>
    </row>
    <row r="4" spans="2:7" ht="15" thickBot="1" x14ac:dyDescent="0.35">
      <c r="B4" s="66"/>
      <c r="C4" s="67"/>
      <c r="D4" s="68"/>
      <c r="E4" s="11" t="b">
        <v>0</v>
      </c>
      <c r="F4" s="3" t="str" cm="1">
        <f t="array" ref="F4">_xlfn.IFS(B4=Major!I$20,"IP",E4=FALSE,"")</f>
        <v/>
      </c>
      <c r="G4" s="12"/>
    </row>
    <row r="5" spans="2:7" ht="15" thickBot="1" x14ac:dyDescent="0.35">
      <c r="B5" s="69"/>
      <c r="C5" s="69"/>
      <c r="D5" s="69"/>
    </row>
    <row r="6" spans="2:7" ht="15" thickBot="1" x14ac:dyDescent="0.35">
      <c r="B6" s="70" t="s">
        <v>5</v>
      </c>
      <c r="C6" s="71" t="s">
        <v>9</v>
      </c>
      <c r="D6" s="72" t="s">
        <v>1</v>
      </c>
      <c r="E6" s="14" t="s">
        <v>4</v>
      </c>
      <c r="F6" s="41" t="s">
        <v>3</v>
      </c>
      <c r="G6" s="14" t="s">
        <v>2</v>
      </c>
    </row>
    <row r="7" spans="2:7" x14ac:dyDescent="0.3">
      <c r="B7" s="73"/>
      <c r="C7" s="74"/>
      <c r="D7" s="75"/>
      <c r="E7" s="46" t="b">
        <v>0</v>
      </c>
      <c r="F7" s="29" t="str" cm="1">
        <f t="array" ref="F7">_xlfn.IFS(B7=Major!I$20,"IP",E7=FALSE,"")</f>
        <v/>
      </c>
      <c r="G7" s="27"/>
    </row>
    <row r="8" spans="2:7" x14ac:dyDescent="0.3">
      <c r="B8" s="73"/>
      <c r="C8" s="74"/>
      <c r="D8" s="75"/>
      <c r="E8" s="46" t="b">
        <v>0</v>
      </c>
      <c r="F8" s="27"/>
      <c r="G8" s="27"/>
    </row>
    <row r="9" spans="2:7" x14ac:dyDescent="0.3">
      <c r="B9" s="73"/>
      <c r="C9" s="74"/>
      <c r="D9" s="75"/>
      <c r="E9" s="46" t="b">
        <v>0</v>
      </c>
      <c r="F9" s="27"/>
      <c r="G9" s="27"/>
    </row>
    <row r="10" spans="2:7" x14ac:dyDescent="0.3">
      <c r="B10" s="76"/>
      <c r="C10" s="77"/>
      <c r="D10" s="78"/>
      <c r="E10" s="47" t="b">
        <v>0</v>
      </c>
      <c r="F10" s="27" t="str" cm="1">
        <f t="array" ref="F10">_xlfn.IFS(B10=Major!I$20,"IP",E10=FALSE,"")</f>
        <v/>
      </c>
      <c r="G10" s="10"/>
    </row>
    <row r="11" spans="2:7" ht="15" thickBot="1" x14ac:dyDescent="0.35">
      <c r="B11" s="66"/>
      <c r="C11" s="67"/>
      <c r="D11" s="68"/>
      <c r="E11" s="30" t="b">
        <v>0</v>
      </c>
      <c r="F11" s="31" t="str" cm="1">
        <f t="array" ref="F11">_xlfn.IFS(B11=Major!I$20,"IP",E11=FALSE,"")</f>
        <v/>
      </c>
      <c r="G11" s="12"/>
    </row>
    <row r="12" spans="2:7" x14ac:dyDescent="0.3">
      <c r="B12" s="69"/>
      <c r="C12" s="69"/>
      <c r="D12" s="69"/>
    </row>
  </sheetData>
  <conditionalFormatting sqref="E3:E4 E7:E11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E49C-06D3-431F-B6A4-AB708242D9E0}">
  <dimension ref="B1:J52"/>
  <sheetViews>
    <sheetView tabSelected="1" zoomScale="104" workbookViewId="0">
      <selection activeCell="A9" sqref="A9"/>
    </sheetView>
  </sheetViews>
  <sheetFormatPr defaultRowHeight="14.4" x14ac:dyDescent="0.3"/>
  <cols>
    <col min="2" max="2" width="22.5546875" customWidth="1"/>
    <col min="4" max="4" width="9.77734375" customWidth="1"/>
    <col min="5" max="5" width="31.6640625" customWidth="1"/>
    <col min="6" max="6" width="10.88671875" customWidth="1"/>
    <col min="7" max="7" width="25" customWidth="1"/>
    <col min="9" max="9" width="20.44140625" style="1" customWidth="1"/>
    <col min="10" max="10" width="14.88671875" customWidth="1"/>
    <col min="12" max="12" width="11" customWidth="1"/>
  </cols>
  <sheetData>
    <row r="1" spans="2:10" ht="15" thickBot="1" x14ac:dyDescent="0.35"/>
    <row r="2" spans="2:10" ht="15" thickBot="1" x14ac:dyDescent="0.35">
      <c r="B2" s="42" t="s">
        <v>15</v>
      </c>
      <c r="C2" s="28" t="s">
        <v>12</v>
      </c>
    </row>
    <row r="3" spans="2:10" ht="15" thickBot="1" x14ac:dyDescent="0.35">
      <c r="B3" s="33">
        <f>COUNTIF(E7:E52,FALSE)</f>
        <v>0</v>
      </c>
      <c r="C3" s="31" t="e">
        <f>(SUMIF(E7:E52,FALSE,(G7:G52)))/(SUMIF(E7:E52,FALSE,(D7:D52)))</f>
        <v>#DIV/0!</v>
      </c>
      <c r="I3" s="63" t="s">
        <v>25</v>
      </c>
      <c r="J3" s="65"/>
    </row>
    <row r="4" spans="2:10" ht="29.4" thickBot="1" x14ac:dyDescent="0.35">
      <c r="I4" s="43" t="s">
        <v>16</v>
      </c>
      <c r="J4" s="24" t="s">
        <v>17</v>
      </c>
    </row>
    <row r="5" spans="2:10" ht="15" thickBot="1" x14ac:dyDescent="0.35">
      <c r="B5" s="63" t="s">
        <v>14</v>
      </c>
      <c r="C5" s="64"/>
      <c r="D5" s="64"/>
      <c r="E5" s="64"/>
      <c r="F5" s="64"/>
      <c r="G5" s="65"/>
      <c r="I5" s="52">
        <v>0</v>
      </c>
      <c r="J5" s="36" t="s">
        <v>18</v>
      </c>
    </row>
    <row r="6" spans="2:10" ht="15" thickBot="1" x14ac:dyDescent="0.35">
      <c r="B6" s="33" t="s">
        <v>13</v>
      </c>
      <c r="C6" s="31" t="s">
        <v>3</v>
      </c>
      <c r="D6" s="31" t="s">
        <v>2</v>
      </c>
      <c r="E6" s="37" t="s">
        <v>23</v>
      </c>
      <c r="F6" s="31" t="s">
        <v>26</v>
      </c>
      <c r="G6" s="54" t="s">
        <v>27</v>
      </c>
      <c r="I6" s="52">
        <v>24</v>
      </c>
      <c r="J6" s="36" t="s">
        <v>19</v>
      </c>
    </row>
    <row r="7" spans="2:10" x14ac:dyDescent="0.3">
      <c r="B7" s="13" t="b">
        <f>Major!E3</f>
        <v>1</v>
      </c>
      <c r="C7" s="49" t="str">
        <f>Major!F3</f>
        <v>IP</v>
      </c>
      <c r="D7" s="49">
        <f>Major!G3</f>
        <v>0</v>
      </c>
      <c r="E7" s="48" t="b">
        <f>OR(C7="N/A",C7="IP",C7=" ",B7=FALSE)</f>
        <v>1</v>
      </c>
      <c r="F7" s="53" t="str">
        <f t="shared" ref="F7:F52" si="0">IF(E7=FALSE,(VLOOKUP(C7,I$12:J$24,2)),"N/A")</f>
        <v>N/A</v>
      </c>
      <c r="G7" s="29" t="e">
        <f>F7*D7</f>
        <v>#VALUE!</v>
      </c>
      <c r="I7" s="52">
        <v>54</v>
      </c>
      <c r="J7" s="36" t="s">
        <v>20</v>
      </c>
    </row>
    <row r="8" spans="2:10" ht="15" thickBot="1" x14ac:dyDescent="0.35">
      <c r="B8" s="2" t="b">
        <f>Major!E4</f>
        <v>0</v>
      </c>
      <c r="C8" s="10" t="str">
        <f>Major!F4</f>
        <v/>
      </c>
      <c r="D8" s="10">
        <f>Major!G4</f>
        <v>0</v>
      </c>
      <c r="E8" s="22" t="b">
        <f t="shared" ref="E7:E52" si="1">OR(C8="N/A",C8="IP",C8=" ",B8=FALSE)</f>
        <v>1</v>
      </c>
      <c r="F8" s="13" t="str">
        <f t="shared" si="0"/>
        <v>N/A</v>
      </c>
      <c r="G8" s="10" t="e">
        <f t="shared" ref="G8:G52" si="2">F8*D8</f>
        <v>#VALUE!</v>
      </c>
      <c r="I8" s="33">
        <v>84</v>
      </c>
      <c r="J8" s="31" t="s">
        <v>21</v>
      </c>
    </row>
    <row r="9" spans="2:10" x14ac:dyDescent="0.3">
      <c r="B9" s="2" t="b">
        <f>Major!E5</f>
        <v>0</v>
      </c>
      <c r="C9" s="10" t="str">
        <f>Major!F5</f>
        <v/>
      </c>
      <c r="D9" s="10">
        <f>Major!G5</f>
        <v>0</v>
      </c>
      <c r="E9" s="22" t="b">
        <f t="shared" si="1"/>
        <v>1</v>
      </c>
      <c r="F9" s="13" t="str">
        <f t="shared" si="0"/>
        <v>N/A</v>
      </c>
      <c r="G9" s="10" t="e">
        <f t="shared" si="2"/>
        <v>#VALUE!</v>
      </c>
    </row>
    <row r="10" spans="2:10" ht="15" thickBot="1" x14ac:dyDescent="0.35">
      <c r="B10" s="2" t="b">
        <f>Major!E6</f>
        <v>0</v>
      </c>
      <c r="C10" s="10" t="str">
        <f>Major!F6</f>
        <v/>
      </c>
      <c r="D10" s="10">
        <f>Major!G6</f>
        <v>0</v>
      </c>
      <c r="E10" s="22" t="b">
        <f t="shared" si="1"/>
        <v>1</v>
      </c>
      <c r="F10" s="13" t="str">
        <f t="shared" si="0"/>
        <v>N/A</v>
      </c>
      <c r="G10" s="10" t="e">
        <f t="shared" si="2"/>
        <v>#VALUE!</v>
      </c>
    </row>
    <row r="11" spans="2:10" ht="15" thickBot="1" x14ac:dyDescent="0.35">
      <c r="B11" s="2" t="b">
        <f>Major!E7</f>
        <v>0</v>
      </c>
      <c r="C11" s="10" t="str">
        <f>Major!F7</f>
        <v/>
      </c>
      <c r="D11" s="10">
        <f>Major!G7</f>
        <v>0</v>
      </c>
      <c r="E11" s="22" t="b">
        <f t="shared" si="1"/>
        <v>1</v>
      </c>
      <c r="F11" s="13" t="str">
        <f t="shared" si="0"/>
        <v>N/A</v>
      </c>
      <c r="G11" s="10" t="e">
        <f t="shared" si="2"/>
        <v>#VALUE!</v>
      </c>
      <c r="I11" s="63" t="s">
        <v>24</v>
      </c>
      <c r="J11" s="65"/>
    </row>
    <row r="12" spans="2:10" x14ac:dyDescent="0.3">
      <c r="B12" s="2" t="b">
        <f>Major!E8</f>
        <v>0</v>
      </c>
      <c r="C12" s="10" t="str">
        <f>Major!F8</f>
        <v/>
      </c>
      <c r="D12" s="10">
        <f>Major!G8</f>
        <v>0</v>
      </c>
      <c r="E12" s="22" t="b">
        <f t="shared" si="1"/>
        <v>1</v>
      </c>
      <c r="F12" s="13" t="str">
        <f t="shared" si="0"/>
        <v>N/A</v>
      </c>
      <c r="G12" s="10" t="e">
        <f t="shared" si="2"/>
        <v>#VALUE!</v>
      </c>
      <c r="I12" s="52" t="str">
        <f>"A"</f>
        <v>A</v>
      </c>
      <c r="J12" s="36">
        <v>4</v>
      </c>
    </row>
    <row r="13" spans="2:10" x14ac:dyDescent="0.3">
      <c r="B13" s="2" t="b">
        <f>Major!E9</f>
        <v>0</v>
      </c>
      <c r="C13" s="10" t="str">
        <f>Major!F9</f>
        <v/>
      </c>
      <c r="D13" s="10">
        <f>Major!G9</f>
        <v>0</v>
      </c>
      <c r="E13" s="22" t="b">
        <f t="shared" si="1"/>
        <v>1</v>
      </c>
      <c r="F13" s="13" t="str">
        <f t="shared" si="0"/>
        <v>N/A</v>
      </c>
      <c r="G13" s="10" t="e">
        <f t="shared" si="2"/>
        <v>#VALUE!</v>
      </c>
      <c r="I13" s="52" t="str">
        <f>"A-"</f>
        <v>A-</v>
      </c>
      <c r="J13" s="36">
        <v>3.75</v>
      </c>
    </row>
    <row r="14" spans="2:10" x14ac:dyDescent="0.3">
      <c r="B14" s="2" t="b">
        <f>Major!E10</f>
        <v>0</v>
      </c>
      <c r="C14" s="10" t="str">
        <f>Major!F10</f>
        <v/>
      </c>
      <c r="D14" s="10">
        <f>Major!G10</f>
        <v>0</v>
      </c>
      <c r="E14" s="22" t="b">
        <f t="shared" si="1"/>
        <v>1</v>
      </c>
      <c r="F14" s="13" t="str">
        <f t="shared" si="0"/>
        <v>N/A</v>
      </c>
      <c r="G14" s="10" t="e">
        <f t="shared" si="2"/>
        <v>#VALUE!</v>
      </c>
      <c r="I14" s="52" t="str">
        <f>"A+"</f>
        <v>A+</v>
      </c>
      <c r="J14" s="36">
        <v>4</v>
      </c>
    </row>
    <row r="15" spans="2:10" x14ac:dyDescent="0.3">
      <c r="B15" s="2" t="b">
        <f>Major!E11</f>
        <v>0</v>
      </c>
      <c r="C15" s="10" t="str">
        <f>Major!F11</f>
        <v/>
      </c>
      <c r="D15" s="10">
        <f>Major!G11</f>
        <v>0</v>
      </c>
      <c r="E15" s="22" t="b">
        <f t="shared" si="1"/>
        <v>1</v>
      </c>
      <c r="F15" s="13" t="str">
        <f t="shared" si="0"/>
        <v>N/A</v>
      </c>
      <c r="G15" s="10" t="e">
        <f t="shared" si="2"/>
        <v>#VALUE!</v>
      </c>
      <c r="I15" s="52" t="str">
        <f>"B"</f>
        <v>B</v>
      </c>
      <c r="J15" s="36">
        <v>3</v>
      </c>
    </row>
    <row r="16" spans="2:10" x14ac:dyDescent="0.3">
      <c r="B16" s="2" t="b">
        <f>Major!E12</f>
        <v>0</v>
      </c>
      <c r="C16" s="10" t="str">
        <f>Major!F12</f>
        <v/>
      </c>
      <c r="D16" s="10">
        <f>Major!G12</f>
        <v>0</v>
      </c>
      <c r="E16" s="22" t="b">
        <f t="shared" si="1"/>
        <v>1</v>
      </c>
      <c r="F16" s="13" t="str">
        <f t="shared" si="0"/>
        <v>N/A</v>
      </c>
      <c r="G16" s="10" t="e">
        <f t="shared" si="2"/>
        <v>#VALUE!</v>
      </c>
      <c r="I16" s="52" t="str">
        <f>"B-"</f>
        <v>B-</v>
      </c>
      <c r="J16" s="36">
        <v>2.75</v>
      </c>
    </row>
    <row r="17" spans="2:10" x14ac:dyDescent="0.3">
      <c r="B17" s="2" t="b">
        <f>Major!E13</f>
        <v>0</v>
      </c>
      <c r="C17" s="10" t="str">
        <f>Major!F13</f>
        <v/>
      </c>
      <c r="D17" s="10">
        <f>Major!G13</f>
        <v>0</v>
      </c>
      <c r="E17" s="22" t="b">
        <f t="shared" si="1"/>
        <v>1</v>
      </c>
      <c r="F17" s="13" t="str">
        <f t="shared" si="0"/>
        <v>N/A</v>
      </c>
      <c r="G17" s="10" t="e">
        <f t="shared" si="2"/>
        <v>#VALUE!</v>
      </c>
      <c r="I17" s="52" t="str">
        <f>"B+"</f>
        <v>B+</v>
      </c>
      <c r="J17" s="36">
        <v>3.25</v>
      </c>
    </row>
    <row r="18" spans="2:10" x14ac:dyDescent="0.3">
      <c r="B18" s="2" t="b">
        <f>Major!E14</f>
        <v>0</v>
      </c>
      <c r="C18" s="10" t="str">
        <f>Major!F14</f>
        <v/>
      </c>
      <c r="D18" s="10">
        <f>Major!G14</f>
        <v>0</v>
      </c>
      <c r="E18" s="22" t="b">
        <f t="shared" si="1"/>
        <v>1</v>
      </c>
      <c r="F18" s="13" t="str">
        <f t="shared" si="0"/>
        <v>N/A</v>
      </c>
      <c r="G18" s="10" t="e">
        <f t="shared" si="2"/>
        <v>#VALUE!</v>
      </c>
      <c r="I18" s="52" t="str">
        <f>"C"</f>
        <v>C</v>
      </c>
      <c r="J18" s="36">
        <v>2</v>
      </c>
    </row>
    <row r="19" spans="2:10" x14ac:dyDescent="0.3">
      <c r="B19" s="2" t="b">
        <f>Major!E15</f>
        <v>0</v>
      </c>
      <c r="C19" s="10" t="str">
        <f>Major!F15</f>
        <v/>
      </c>
      <c r="D19" s="10">
        <f>Major!G15</f>
        <v>0</v>
      </c>
      <c r="E19" s="22" t="b">
        <f t="shared" si="1"/>
        <v>1</v>
      </c>
      <c r="F19" s="13" t="str">
        <f t="shared" si="0"/>
        <v>N/A</v>
      </c>
      <c r="G19" s="10" t="e">
        <f t="shared" si="2"/>
        <v>#VALUE!</v>
      </c>
      <c r="I19" s="52" t="str">
        <f>"C-"</f>
        <v>C-</v>
      </c>
      <c r="J19" s="36">
        <v>1.75</v>
      </c>
    </row>
    <row r="20" spans="2:10" x14ac:dyDescent="0.3">
      <c r="B20" s="2" t="b">
        <f>Major!E16</f>
        <v>0</v>
      </c>
      <c r="C20" s="10" t="str">
        <f>Major!F16</f>
        <v/>
      </c>
      <c r="D20" s="10">
        <f>Major!G16</f>
        <v>0</v>
      </c>
      <c r="E20" s="22" t="b">
        <f t="shared" si="1"/>
        <v>1</v>
      </c>
      <c r="F20" s="13" t="str">
        <f t="shared" si="0"/>
        <v>N/A</v>
      </c>
      <c r="G20" s="10" t="e">
        <f t="shared" si="2"/>
        <v>#VALUE!</v>
      </c>
      <c r="I20" s="52" t="str">
        <f>"C+"</f>
        <v>C+</v>
      </c>
      <c r="J20" s="36">
        <v>2.25</v>
      </c>
    </row>
    <row r="21" spans="2:10" x14ac:dyDescent="0.3">
      <c r="B21" s="2" t="b">
        <f>Major!E17</f>
        <v>0</v>
      </c>
      <c r="C21" s="10" t="str">
        <f>Major!F17</f>
        <v/>
      </c>
      <c r="D21" s="10">
        <f>Major!G17</f>
        <v>0</v>
      </c>
      <c r="E21" s="22" t="b">
        <f t="shared" si="1"/>
        <v>1</v>
      </c>
      <c r="F21" s="13" t="str">
        <f t="shared" si="0"/>
        <v>N/A</v>
      </c>
      <c r="G21" s="10" t="e">
        <f t="shared" si="2"/>
        <v>#VALUE!</v>
      </c>
      <c r="I21" s="52" t="str">
        <f>"D"</f>
        <v>D</v>
      </c>
      <c r="J21" s="36">
        <v>1</v>
      </c>
    </row>
    <row r="22" spans="2:10" x14ac:dyDescent="0.3">
      <c r="B22" s="2" t="b">
        <f>Major!E18</f>
        <v>0</v>
      </c>
      <c r="C22" s="10" t="str">
        <f>Major!F18</f>
        <v/>
      </c>
      <c r="D22" s="10">
        <f>Major!G18</f>
        <v>0</v>
      </c>
      <c r="E22" s="22" t="b">
        <f t="shared" si="1"/>
        <v>1</v>
      </c>
      <c r="F22" s="13" t="str">
        <f t="shared" si="0"/>
        <v>N/A</v>
      </c>
      <c r="G22" s="10" t="e">
        <f t="shared" si="2"/>
        <v>#VALUE!</v>
      </c>
      <c r="I22" s="52" t="str">
        <f>"D-"</f>
        <v>D-</v>
      </c>
      <c r="J22" s="36">
        <v>0.75</v>
      </c>
    </row>
    <row r="23" spans="2:10" x14ac:dyDescent="0.3">
      <c r="B23" s="2" t="b">
        <f>Major!E19</f>
        <v>0</v>
      </c>
      <c r="C23" s="10" t="str">
        <f>Major!F19</f>
        <v/>
      </c>
      <c r="D23" s="10">
        <f>Major!G19</f>
        <v>0</v>
      </c>
      <c r="E23" s="22" t="b">
        <f t="shared" si="1"/>
        <v>1</v>
      </c>
      <c r="F23" s="13" t="str">
        <f t="shared" si="0"/>
        <v>N/A</v>
      </c>
      <c r="G23" s="10" t="e">
        <f t="shared" si="2"/>
        <v>#VALUE!</v>
      </c>
      <c r="I23" s="52" t="str">
        <f>"D+"</f>
        <v>D+</v>
      </c>
      <c r="J23" s="36">
        <v>1.25</v>
      </c>
    </row>
    <row r="24" spans="2:10" ht="15" thickBot="1" x14ac:dyDescent="0.35">
      <c r="B24" s="2" t="b">
        <f>Major!E20</f>
        <v>0</v>
      </c>
      <c r="C24" s="10" t="str">
        <f>Major!F20</f>
        <v/>
      </c>
      <c r="D24" s="10">
        <f>Major!G20</f>
        <v>0</v>
      </c>
      <c r="E24" s="22" t="b">
        <f t="shared" si="1"/>
        <v>1</v>
      </c>
      <c r="F24" s="13" t="str">
        <f t="shared" si="0"/>
        <v>N/A</v>
      </c>
      <c r="G24" s="10" t="e">
        <f t="shared" si="2"/>
        <v>#VALUE!</v>
      </c>
      <c r="I24" s="33" t="str">
        <f>"F"</f>
        <v>F</v>
      </c>
      <c r="J24" s="31">
        <v>0</v>
      </c>
    </row>
    <row r="25" spans="2:10" x14ac:dyDescent="0.3">
      <c r="B25" s="2" t="b">
        <f>Major!E21</f>
        <v>0</v>
      </c>
      <c r="C25" s="10" t="str">
        <f>Major!F21</f>
        <v/>
      </c>
      <c r="D25" s="10">
        <f>Major!G21</f>
        <v>0</v>
      </c>
      <c r="E25" s="22" t="b">
        <f t="shared" si="1"/>
        <v>1</v>
      </c>
      <c r="F25" s="13" t="str">
        <f t="shared" si="0"/>
        <v>N/A</v>
      </c>
      <c r="G25" s="10" t="e">
        <f t="shared" si="2"/>
        <v>#VALUE!</v>
      </c>
    </row>
    <row r="26" spans="2:10" x14ac:dyDescent="0.3">
      <c r="B26" s="2" t="b">
        <f>Major!E22</f>
        <v>0</v>
      </c>
      <c r="C26" s="10" t="str">
        <f>Major!F22</f>
        <v/>
      </c>
      <c r="D26" s="10">
        <f>Major!G22</f>
        <v>0</v>
      </c>
      <c r="E26" s="22" t="b">
        <f t="shared" si="1"/>
        <v>1</v>
      </c>
      <c r="F26" s="13" t="str">
        <f t="shared" si="0"/>
        <v>N/A</v>
      </c>
      <c r="G26" s="10" t="e">
        <f t="shared" si="2"/>
        <v>#VALUE!</v>
      </c>
    </row>
    <row r="27" spans="2:10" x14ac:dyDescent="0.3">
      <c r="B27" s="2" t="b">
        <f>Major!E23</f>
        <v>0</v>
      </c>
      <c r="C27" s="10" t="str">
        <f>Major!F23</f>
        <v/>
      </c>
      <c r="D27" s="10">
        <f>Major!G23</f>
        <v>0</v>
      </c>
      <c r="E27" s="22" t="b">
        <f t="shared" si="1"/>
        <v>1</v>
      </c>
      <c r="F27" s="13" t="str">
        <f t="shared" si="0"/>
        <v>N/A</v>
      </c>
      <c r="G27" s="10" t="e">
        <f t="shared" si="2"/>
        <v>#VALUE!</v>
      </c>
    </row>
    <row r="28" spans="2:10" x14ac:dyDescent="0.3">
      <c r="B28" s="2" t="b">
        <f>Major!E24</f>
        <v>0</v>
      </c>
      <c r="C28" s="10" t="str">
        <f>Major!F24</f>
        <v/>
      </c>
      <c r="D28" s="10">
        <f>Major!G24</f>
        <v>0</v>
      </c>
      <c r="E28" s="22" t="b">
        <f t="shared" si="1"/>
        <v>1</v>
      </c>
      <c r="F28" s="13" t="str">
        <f t="shared" si="0"/>
        <v>N/A</v>
      </c>
      <c r="G28" s="10" t="e">
        <f t="shared" si="2"/>
        <v>#VALUE!</v>
      </c>
    </row>
    <row r="29" spans="2:10" x14ac:dyDescent="0.3">
      <c r="B29" s="2" t="b">
        <f>Major!E25</f>
        <v>0</v>
      </c>
      <c r="C29" s="10" t="str">
        <f>Major!F25</f>
        <v/>
      </c>
      <c r="D29" s="10">
        <f>Major!G25</f>
        <v>0</v>
      </c>
      <c r="E29" s="22" t="b">
        <f t="shared" si="1"/>
        <v>1</v>
      </c>
      <c r="F29" s="13" t="str">
        <f t="shared" si="0"/>
        <v>N/A</v>
      </c>
      <c r="G29" s="10" t="e">
        <f t="shared" si="2"/>
        <v>#VALUE!</v>
      </c>
    </row>
    <row r="30" spans="2:10" x14ac:dyDescent="0.3">
      <c r="B30" s="2" t="b">
        <f>Major!E26</f>
        <v>0</v>
      </c>
      <c r="C30" s="10" t="str">
        <f>Major!F26</f>
        <v/>
      </c>
      <c r="D30" s="10">
        <f>Major!G26</f>
        <v>0</v>
      </c>
      <c r="E30" s="22" t="b">
        <f t="shared" si="1"/>
        <v>1</v>
      </c>
      <c r="F30" s="13" t="str">
        <f t="shared" si="0"/>
        <v>N/A</v>
      </c>
      <c r="G30" s="10" t="e">
        <f t="shared" si="2"/>
        <v>#VALUE!</v>
      </c>
    </row>
    <row r="31" spans="2:10" x14ac:dyDescent="0.3">
      <c r="B31" s="2" t="b">
        <f>Major!E27</f>
        <v>0</v>
      </c>
      <c r="C31" s="10" t="str">
        <f>Major!F27</f>
        <v/>
      </c>
      <c r="D31" s="10">
        <f>Major!G27</f>
        <v>0</v>
      </c>
      <c r="E31" s="22" t="b">
        <f t="shared" si="1"/>
        <v>1</v>
      </c>
      <c r="F31" s="13" t="str">
        <f t="shared" si="0"/>
        <v>N/A</v>
      </c>
      <c r="G31" s="10" t="e">
        <f t="shared" si="2"/>
        <v>#VALUE!</v>
      </c>
    </row>
    <row r="32" spans="2:10" x14ac:dyDescent="0.3">
      <c r="B32" s="2" t="b">
        <f>Major!E28</f>
        <v>0</v>
      </c>
      <c r="C32" s="10" t="str">
        <f>Major!F28</f>
        <v/>
      </c>
      <c r="D32" s="10">
        <f>Major!G28</f>
        <v>0</v>
      </c>
      <c r="E32" s="22" t="b">
        <f t="shared" si="1"/>
        <v>1</v>
      </c>
      <c r="F32" s="13" t="str">
        <f t="shared" si="0"/>
        <v>N/A</v>
      </c>
      <c r="G32" s="10" t="e">
        <f t="shared" si="2"/>
        <v>#VALUE!</v>
      </c>
    </row>
    <row r="33" spans="2:7" x14ac:dyDescent="0.3">
      <c r="B33" s="2" t="b">
        <f>Major!E29</f>
        <v>0</v>
      </c>
      <c r="C33" s="10" t="str">
        <f>Major!F29</f>
        <v/>
      </c>
      <c r="D33" s="10">
        <f>Major!G29</f>
        <v>0</v>
      </c>
      <c r="E33" s="22" t="b">
        <f t="shared" si="1"/>
        <v>1</v>
      </c>
      <c r="F33" s="13" t="str">
        <f t="shared" si="0"/>
        <v>N/A</v>
      </c>
      <c r="G33" s="10" t="e">
        <f t="shared" si="2"/>
        <v>#VALUE!</v>
      </c>
    </row>
    <row r="34" spans="2:7" x14ac:dyDescent="0.3">
      <c r="B34" s="2" t="b">
        <f>Major!E30</f>
        <v>0</v>
      </c>
      <c r="C34" s="10" t="str">
        <f>Major!F30</f>
        <v/>
      </c>
      <c r="D34" s="10">
        <f>Major!G30</f>
        <v>0</v>
      </c>
      <c r="E34" s="22" t="b">
        <f t="shared" si="1"/>
        <v>1</v>
      </c>
      <c r="F34" s="13" t="str">
        <f t="shared" si="0"/>
        <v>N/A</v>
      </c>
      <c r="G34" s="10" t="e">
        <f t="shared" si="2"/>
        <v>#VALUE!</v>
      </c>
    </row>
    <row r="35" spans="2:7" x14ac:dyDescent="0.3">
      <c r="B35" s="2" t="b">
        <f>Major!E31</f>
        <v>0</v>
      </c>
      <c r="C35" s="10" t="str">
        <f>Major!F31</f>
        <v/>
      </c>
      <c r="D35" s="10">
        <f>Major!G31</f>
        <v>0</v>
      </c>
      <c r="E35" s="22" t="b">
        <f t="shared" si="1"/>
        <v>1</v>
      </c>
      <c r="F35" s="13" t="str">
        <f t="shared" si="0"/>
        <v>N/A</v>
      </c>
      <c r="G35" s="10" t="e">
        <f t="shared" si="2"/>
        <v>#VALUE!</v>
      </c>
    </row>
    <row r="36" spans="2:7" x14ac:dyDescent="0.3">
      <c r="B36" s="2" t="b">
        <f>Major!L3</f>
        <v>0</v>
      </c>
      <c r="C36" s="10" t="str">
        <f>Major!M3</f>
        <v xml:space="preserve"> </v>
      </c>
      <c r="D36" s="10">
        <f>Major!N3</f>
        <v>0</v>
      </c>
      <c r="E36" s="22" t="b">
        <f t="shared" si="1"/>
        <v>1</v>
      </c>
      <c r="F36" s="13" t="str">
        <f t="shared" si="0"/>
        <v>N/A</v>
      </c>
      <c r="G36" s="10" t="e">
        <f t="shared" si="2"/>
        <v>#VALUE!</v>
      </c>
    </row>
    <row r="37" spans="2:7" x14ac:dyDescent="0.3">
      <c r="B37" s="2" t="b">
        <f>Major!L4</f>
        <v>0</v>
      </c>
      <c r="C37" s="10" t="str">
        <f>Major!M4</f>
        <v xml:space="preserve"> </v>
      </c>
      <c r="D37" s="10">
        <f>Major!N4</f>
        <v>0</v>
      </c>
      <c r="E37" s="22" t="b">
        <f t="shared" si="1"/>
        <v>1</v>
      </c>
      <c r="F37" s="13" t="str">
        <f t="shared" si="0"/>
        <v>N/A</v>
      </c>
      <c r="G37" s="10" t="e">
        <f t="shared" si="2"/>
        <v>#VALUE!</v>
      </c>
    </row>
    <row r="38" spans="2:7" x14ac:dyDescent="0.3">
      <c r="B38" s="2" t="b">
        <f>Major!L5</f>
        <v>0</v>
      </c>
      <c r="C38" s="10" t="str">
        <f>Major!M5</f>
        <v xml:space="preserve"> </v>
      </c>
      <c r="D38" s="10">
        <f>Major!N5</f>
        <v>0</v>
      </c>
      <c r="E38" s="22" t="b">
        <f t="shared" si="1"/>
        <v>1</v>
      </c>
      <c r="F38" s="13" t="str">
        <f t="shared" si="0"/>
        <v>N/A</v>
      </c>
      <c r="G38" s="10" t="e">
        <f t="shared" si="2"/>
        <v>#VALUE!</v>
      </c>
    </row>
    <row r="39" spans="2:7" x14ac:dyDescent="0.3">
      <c r="B39" s="2" t="b">
        <f>Major!L6</f>
        <v>0</v>
      </c>
      <c r="C39" s="10" t="str">
        <f>Major!M6</f>
        <v xml:space="preserve"> </v>
      </c>
      <c r="D39" s="10">
        <f>Major!N6</f>
        <v>0</v>
      </c>
      <c r="E39" s="22" t="b">
        <f t="shared" si="1"/>
        <v>1</v>
      </c>
      <c r="F39" s="13" t="str">
        <f t="shared" si="0"/>
        <v>N/A</v>
      </c>
      <c r="G39" s="10" t="e">
        <f t="shared" si="2"/>
        <v>#VALUE!</v>
      </c>
    </row>
    <row r="40" spans="2:7" x14ac:dyDescent="0.3">
      <c r="B40" s="2" t="b">
        <f>Major!L7</f>
        <v>0</v>
      </c>
      <c r="C40" s="10" t="str">
        <f>Major!M7</f>
        <v xml:space="preserve"> </v>
      </c>
      <c r="D40" s="10">
        <f>Major!N7</f>
        <v>0</v>
      </c>
      <c r="E40" s="22" t="b">
        <f t="shared" si="1"/>
        <v>1</v>
      </c>
      <c r="F40" s="13" t="str">
        <f t="shared" si="0"/>
        <v>N/A</v>
      </c>
      <c r="G40" s="10" t="e">
        <f t="shared" si="2"/>
        <v>#VALUE!</v>
      </c>
    </row>
    <row r="41" spans="2:7" x14ac:dyDescent="0.3">
      <c r="B41" s="2" t="b">
        <f>Major!L8</f>
        <v>0</v>
      </c>
      <c r="C41" s="10" t="str">
        <f>Major!M8</f>
        <v xml:space="preserve"> </v>
      </c>
      <c r="D41" s="10">
        <f>Major!N8</f>
        <v>0</v>
      </c>
      <c r="E41" s="22" t="b">
        <f t="shared" si="1"/>
        <v>1</v>
      </c>
      <c r="F41" s="13" t="str">
        <f t="shared" si="0"/>
        <v>N/A</v>
      </c>
      <c r="G41" s="10" t="e">
        <f t="shared" si="2"/>
        <v>#VALUE!</v>
      </c>
    </row>
    <row r="42" spans="2:7" x14ac:dyDescent="0.3">
      <c r="B42" s="2" t="b">
        <f>Major!L11</f>
        <v>0</v>
      </c>
      <c r="C42" s="10" t="str">
        <f>Major!M11</f>
        <v/>
      </c>
      <c r="D42" s="10">
        <f>Major!N11</f>
        <v>0</v>
      </c>
      <c r="E42" s="22" t="b">
        <f t="shared" si="1"/>
        <v>1</v>
      </c>
      <c r="F42" s="13" t="str">
        <f t="shared" si="0"/>
        <v>N/A</v>
      </c>
      <c r="G42" s="10" t="e">
        <f t="shared" si="2"/>
        <v>#VALUE!</v>
      </c>
    </row>
    <row r="43" spans="2:7" x14ac:dyDescent="0.3">
      <c r="B43" s="2" t="b">
        <f>Major!L12</f>
        <v>0</v>
      </c>
      <c r="C43" s="10" t="str">
        <f>Major!M12</f>
        <v/>
      </c>
      <c r="D43" s="10">
        <f>Major!N12</f>
        <v>0</v>
      </c>
      <c r="E43" s="22" t="b">
        <f t="shared" si="1"/>
        <v>1</v>
      </c>
      <c r="F43" s="13" t="str">
        <f t="shared" si="0"/>
        <v>N/A</v>
      </c>
      <c r="G43" s="10" t="e">
        <f t="shared" si="2"/>
        <v>#VALUE!</v>
      </c>
    </row>
    <row r="44" spans="2:7" x14ac:dyDescent="0.3">
      <c r="B44" s="2" t="b">
        <f>Major!L13</f>
        <v>0</v>
      </c>
      <c r="C44" s="10" t="str">
        <f>Major!M13</f>
        <v/>
      </c>
      <c r="D44" s="10">
        <f>Major!N13</f>
        <v>0</v>
      </c>
      <c r="E44" s="22" t="b">
        <f t="shared" si="1"/>
        <v>1</v>
      </c>
      <c r="F44" s="13" t="str">
        <f t="shared" si="0"/>
        <v>N/A</v>
      </c>
      <c r="G44" s="10" t="e">
        <f t="shared" si="2"/>
        <v>#VALUE!</v>
      </c>
    </row>
    <row r="45" spans="2:7" x14ac:dyDescent="0.3">
      <c r="B45" s="2" t="b">
        <f>Major!L14</f>
        <v>0</v>
      </c>
      <c r="C45" s="10" t="str">
        <f>Major!M14</f>
        <v/>
      </c>
      <c r="D45" s="10">
        <f>Major!N14</f>
        <v>0</v>
      </c>
      <c r="E45" s="22" t="b">
        <f t="shared" si="1"/>
        <v>1</v>
      </c>
      <c r="F45" s="13" t="str">
        <f t="shared" si="0"/>
        <v>N/A</v>
      </c>
      <c r="G45" s="10" t="e">
        <f t="shared" si="2"/>
        <v>#VALUE!</v>
      </c>
    </row>
    <row r="46" spans="2:7" x14ac:dyDescent="0.3">
      <c r="B46" s="2" t="b">
        <f>Major!L15</f>
        <v>0</v>
      </c>
      <c r="C46" s="10" t="str">
        <f>Major!M15</f>
        <v/>
      </c>
      <c r="D46" s="10">
        <f>Major!N15</f>
        <v>0</v>
      </c>
      <c r="E46" s="22" t="b">
        <f t="shared" si="1"/>
        <v>1</v>
      </c>
      <c r="F46" s="13" t="str">
        <f t="shared" si="0"/>
        <v>N/A</v>
      </c>
      <c r="G46" s="10" t="e">
        <f t="shared" si="2"/>
        <v>#VALUE!</v>
      </c>
    </row>
    <row r="47" spans="2:7" x14ac:dyDescent="0.3">
      <c r="B47" s="2" t="b">
        <f>Major!L16</f>
        <v>0</v>
      </c>
      <c r="C47" s="10" t="str">
        <f>Major!M16</f>
        <v/>
      </c>
      <c r="D47" s="10">
        <f>Major!N16</f>
        <v>0</v>
      </c>
      <c r="E47" s="22" t="b">
        <f t="shared" si="1"/>
        <v>1</v>
      </c>
      <c r="F47" s="13" t="str">
        <f t="shared" si="0"/>
        <v>N/A</v>
      </c>
      <c r="G47" s="10" t="e">
        <f t="shared" si="2"/>
        <v>#VALUE!</v>
      </c>
    </row>
    <row r="48" spans="2:7" x14ac:dyDescent="0.3">
      <c r="B48" s="2" t="b">
        <f>Minor!E3</f>
        <v>0</v>
      </c>
      <c r="C48" s="10" t="str">
        <f>Minor!F3</f>
        <v/>
      </c>
      <c r="D48" s="10">
        <f>Minor!G3</f>
        <v>0</v>
      </c>
      <c r="E48" s="22" t="b">
        <f t="shared" si="1"/>
        <v>1</v>
      </c>
      <c r="F48" s="13" t="str">
        <f t="shared" si="0"/>
        <v>N/A</v>
      </c>
      <c r="G48" s="10" t="e">
        <f t="shared" si="2"/>
        <v>#VALUE!</v>
      </c>
    </row>
    <row r="49" spans="2:7" x14ac:dyDescent="0.3">
      <c r="B49" s="2" t="b">
        <f>Minor!E4</f>
        <v>0</v>
      </c>
      <c r="C49" s="10" t="str">
        <f>Minor!F4</f>
        <v/>
      </c>
      <c r="D49" s="10">
        <f>Minor!G4</f>
        <v>0</v>
      </c>
      <c r="E49" s="22" t="b">
        <f t="shared" si="1"/>
        <v>1</v>
      </c>
      <c r="F49" s="13" t="str">
        <f t="shared" si="0"/>
        <v>N/A</v>
      </c>
      <c r="G49" s="10" t="e">
        <f t="shared" si="2"/>
        <v>#VALUE!</v>
      </c>
    </row>
    <row r="50" spans="2:7" x14ac:dyDescent="0.3">
      <c r="B50" s="2" t="b">
        <f>Minor!E7</f>
        <v>0</v>
      </c>
      <c r="C50" s="10" t="str">
        <f>Minor!F7</f>
        <v/>
      </c>
      <c r="D50" s="10">
        <f>Minor!G7</f>
        <v>0</v>
      </c>
      <c r="E50" s="22" t="b">
        <f t="shared" si="1"/>
        <v>1</v>
      </c>
      <c r="F50" s="13" t="str">
        <f t="shared" si="0"/>
        <v>N/A</v>
      </c>
      <c r="G50" s="10" t="e">
        <f t="shared" si="2"/>
        <v>#VALUE!</v>
      </c>
    </row>
    <row r="51" spans="2:7" x14ac:dyDescent="0.3">
      <c r="B51" s="2" t="b">
        <f>Minor!E10</f>
        <v>0</v>
      </c>
      <c r="C51" s="10" t="str">
        <f>Minor!F10</f>
        <v/>
      </c>
      <c r="D51" s="10">
        <f>Minor!G10</f>
        <v>0</v>
      </c>
      <c r="E51" s="22" t="b">
        <f t="shared" si="1"/>
        <v>1</v>
      </c>
      <c r="F51" s="13" t="str">
        <f t="shared" si="0"/>
        <v>N/A</v>
      </c>
      <c r="G51" s="10" t="e">
        <f t="shared" si="2"/>
        <v>#VALUE!</v>
      </c>
    </row>
    <row r="52" spans="2:7" ht="15" thickBot="1" x14ac:dyDescent="0.35">
      <c r="B52" s="3" t="b">
        <f>Minor!E11</f>
        <v>0</v>
      </c>
      <c r="C52" s="12" t="str">
        <f>Minor!F11</f>
        <v/>
      </c>
      <c r="D52" s="12">
        <f>Minor!G11</f>
        <v>0</v>
      </c>
      <c r="E52" s="23" t="b">
        <f t="shared" si="1"/>
        <v>1</v>
      </c>
      <c r="F52" s="33" t="str">
        <f t="shared" si="0"/>
        <v>N/A</v>
      </c>
      <c r="G52" s="12" t="e">
        <f t="shared" si="2"/>
        <v>#VALUE!</v>
      </c>
    </row>
  </sheetData>
  <sortState xmlns:xlrd2="http://schemas.microsoft.com/office/spreadsheetml/2017/richdata2" ref="I12:K24">
    <sortCondition ref="I24"/>
  </sortState>
  <mergeCells count="3">
    <mergeCell ref="I11:J11"/>
    <mergeCell ref="I3:J3"/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Major</vt:lpstr>
      <vt:lpstr>Minor</vt:lpstr>
      <vt:lpstr>GPA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brady</dc:creator>
  <cp:lastModifiedBy>Brady, Julian</cp:lastModifiedBy>
  <dcterms:created xsi:type="dcterms:W3CDTF">2015-06-05T18:17:20Z</dcterms:created>
  <dcterms:modified xsi:type="dcterms:W3CDTF">2026-01-09T23:17:57Z</dcterms:modified>
</cp:coreProperties>
</file>